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b11a4758a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Review" sheetId="1" r:id="Rb71f2d3556e44bbc"/>
    <x:sheet xmlns:r="http://schemas.openxmlformats.org/officeDocument/2006/relationships" name="Master Catalog" sheetId="2" r:id="Rbbf2ae8a147540dd"/>
    <x:sheet xmlns:r="http://schemas.openxmlformats.org/officeDocument/2006/relationships" name="Source Register" sheetId="3" r:id="R04c7ed3e95044a91"/>
    <x:sheet xmlns:r="http://schemas.openxmlformats.org/officeDocument/2006/relationships" name="Conflicts" sheetId="4" r:id="R1c27fc88fc9b4634"/>
    <x:sheet xmlns:r="http://schemas.openxmlformats.org/officeDocument/2006/relationships" name="Gate Audit" sheetId="5" r:id="R532d5d6785634283"/>
    <x:sheet xmlns:r="http://schemas.openxmlformats.org/officeDocument/2006/relationships" name="Coverage" sheetId="6" r:id="R745d4ed2d6854190"/>
    <x:sheet xmlns:r="http://schemas.openxmlformats.org/officeDocument/2006/relationships" name="Instructions" sheetId="7" r:id="R155f65f36fc5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</x:fills>
  <x:borders count="7">
    <x:border/>
    <x:border>
      <x:bottom style="medium">
        <x:color rgb="FF8EA9C1"/>
      </x:bottom>
    </x:border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d6186b9d84ef9" /><Relationship Type="http://schemas.openxmlformats.org/officeDocument/2006/relationships/theme" Target="/xl/theme/theme1.xml" Id="R5f8b76419f644786" /><Relationship Type="http://schemas.openxmlformats.org/officeDocument/2006/relationships/sharedStrings" Target="/xl/sharedStrings.xml" Id="R0bb7ace651c745c3" /><Relationship Type="http://schemas.openxmlformats.org/officeDocument/2006/relationships/worksheet" Target="/xl/worksheets/sheet1.xml" Id="Rb71f2d3556e44bbc" /><Relationship Type="http://schemas.openxmlformats.org/officeDocument/2006/relationships/worksheet" Target="/xl/worksheets/sheet2.xml" Id="Rbbf2ae8a147540dd" /><Relationship Type="http://schemas.openxmlformats.org/officeDocument/2006/relationships/worksheet" Target="/xl/worksheets/sheet3.xml" Id="R04c7ed3e95044a91" /><Relationship Type="http://schemas.openxmlformats.org/officeDocument/2006/relationships/worksheet" Target="/xl/worksheets/sheet4.xml" Id="R1c27fc88fc9b4634" /><Relationship Type="http://schemas.openxmlformats.org/officeDocument/2006/relationships/worksheet" Target="/xl/worksheets/sheet5.xml" Id="R532d5d6785634283" /><Relationship Type="http://schemas.openxmlformats.org/officeDocument/2006/relationships/worksheet" Target="/xl/worksheets/sheet6.xml" Id="R745d4ed2d6854190" /><Relationship Type="http://schemas.openxmlformats.org/officeDocument/2006/relationships/worksheet" Target="/xl/worksheets/sheet7.xml" Id="R155f65f36fc5434f" /></Relationships>
</file>

<file path=xl/tables/table1.xml><?xml version="1.0" encoding="utf-8"?>
<x:table xmlns:x="http://schemas.openxmlformats.org/spreadsheetml/2006/main" id="1" name="TranslationReviewTable" displayName="TranslationReviewTable" ref="A1:S176" headerRowCount="1" totalsRowCount="0" totalsRowShown="0">
  <x:autoFilter ref="A1:S176"/>
  <x:tableColumns count="19">
    <x:tableColumn id="1" name="recommendation_id"/>
    <x:tableColumn id="2" name="selection_key"/>
    <x:tableColumn id="3" name="record_type"/>
    <x:tableColumn id="4" name="thai_source_text"/>
    <x:tableColumn id="5" name="english_draft"/>
    <x:tableColumn id="6" name="translation_style"/>
    <x:tableColumn id="7" name="numbers_match"/>
    <x:tableColumn id="8" name="units_match"/>
    <x:tableColumn id="9" name="timing_match"/>
    <x:tableColumn id="10" name="urgency_match"/>
    <x:tableColumn id="11" name="negation_match"/>
    <x:tableColumn id="12" name="meaning_review"/>
    <x:tableColumn id="13" name="review_comment"/>
    <x:tableColumn id="14" name="approval_status"/>
    <x:tableColumn id="15" name="approved_by"/>
    <x:tableColumn id="16" name="approved_at"/>
    <x:tableColumn id="17" name="translation_version"/>
    <x:tableColumn id="18" name="source_id"/>
    <x:tableColumn id="19" name="source_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atalogTable" displayName="MasterCatalogTable" ref="A1:R176" headerRowCount="1" totalsRowCount="0" totalsRowShown="0">
  <x:autoFilter ref="A1:R176"/>
  <x:tableColumns count="18">
    <x:tableColumn id="1" name="recommendation_id"/>
    <x:tableColumn id="2" name="selection_key"/>
    <x:tableColumn id="3" name="display_order"/>
    <x:tableColumn id="4" name="record_type"/>
    <x:tableColumn id="5" name="category"/>
    <x:tableColumn id="6" name="activity"/>
    <x:tableColumn id="7" name="body_part"/>
    <x:tableColumn id="8" name="risk_level"/>
    <x:tableColumn id="9" name="trigger_condition"/>
    <x:tableColumn id="10" name="thai_source_text"/>
    <x:tableColumn id="11" name="source_id"/>
    <x:tableColumn id="12" name="source_page"/>
    <x:tableColumn id="13" name="source_section"/>
    <x:tableColumn id="14" name="source_priority"/>
    <x:tableColumn id="15" name="catalog_version"/>
    <x:tableColumn id="16" name="record_status"/>
    <x:tableColumn id="17" name="legacy_text_th"/>
    <x:tableColumn id="18" name="legacy_text_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Table" displayName="SourceRegisterTable" ref="A1:H7" headerRowCount="1" totalsRowCount="0" totalsRowShown="0">
  <x:autoFilter ref="A1:H7"/>
  <x:tableColumns count="8">
    <x:tableColumn id="1" name="Source ID"/>
    <x:tableColumn id="2" name="Title"/>
    <x:tableColumn id="3" name="Language"/>
    <x:tableColumn id="4" name="Priority"/>
    <x:tableColumn id="5" name="Role"/>
    <x:tableColumn id="6" name="SHA-256"/>
    <x:tableColumn id="7" name="Local path"/>
    <x:tableColumn id="8" name="Distribu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lictsTable" displayName="ConflictsTable" ref="A1:I5" headerRowCount="1" totalsRowCount="0" totalsRowShown="0">
  <x:autoFilter ref="A1:I5"/>
  <x:tableColumns count="9">
    <x:tableColumn id="1" name="recommendation_id"/>
    <x:tableColumn id="2" name="selection_key"/>
    <x:tableColumn id="3" name="issue_type"/>
    <x:tableColumn id="4" name="source_a"/>
    <x:tableColumn id="5" name="source_b"/>
    <x:tableColumn id="6" name="conflicting_value"/>
    <x:tableColumn id="7" name="proposed_action"/>
    <x:tableColumn id="8" name="approval_status"/>
    <x:tableColumn id="9" name="blank_metadata_fiel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teAuditTable" displayName="GateAuditTable" ref="A1:E176" headerRowCount="1" totalsRowCount="0" totalsRowShown="0">
  <x:autoFilter ref="A1:E176"/>
  <x:tableColumns count="5">
    <x:tableColumn id="1" name="recommendation_id"/>
    <x:tableColumn id="2" name="english_contains_thai"/>
    <x:tableColumn id="3" name="invalid_translation_style"/>
    <x:tableColumn id="4" name="invalid_approved_at"/>
    <x:tableColumn id="5" name="invalid_transla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ef3d78306940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1eed99b651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aeedd1fb99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6200c134c5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071b6ffe4247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17" hidden="0" customWidth="1"/>
    <x:col min="4" max="4" width="48" hidden="0" customWidth="1"/>
    <x:col min="5" max="5" width="5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7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12" hidden="0" customWidth="1"/>
  </x:cols>
  <x:sheetData>
    <x:row r="1" ht="34" customHeight="1">
      <x:c r="A1" s="7" t="str">
        <x:v>recommendation_id</x:v>
      </x:c>
      <x:c r="B1" s="7" t="str">
        <x:v>selection_key</x:v>
      </x:c>
      <x:c r="C1" s="7" t="str">
        <x:v>record_type</x:v>
      </x:c>
      <x:c r="D1" s="7" t="str">
        <x:v>thai_source_text</x:v>
      </x:c>
      <x:c r="E1" s="7" t="str">
        <x:v>english_draft</x:v>
      </x:c>
      <x:c r="F1" s="7" t="str">
        <x:v>translation_style</x:v>
      </x:c>
      <x:c r="G1" s="7" t="str">
        <x:v>numbers_match</x:v>
      </x:c>
      <x:c r="H1" s="7" t="str">
        <x:v>units_match</x:v>
      </x:c>
      <x:c r="I1" s="7" t="str">
        <x:v>timing_match</x:v>
      </x:c>
      <x:c r="J1" s="7" t="str">
        <x:v>urgency_match</x:v>
      </x:c>
      <x:c r="K1" s="7" t="str">
        <x:v>negation_match</x:v>
      </x:c>
      <x:c r="L1" s="7" t="str">
        <x:v>meaning_review</x:v>
      </x:c>
      <x:c r="M1" s="7" t="str">
        <x:v>review_comment</x:v>
      </x:c>
      <x:c r="N1" s="7" t="str">
        <x:v>approval_status</x:v>
      </x:c>
      <x:c r="O1" s="7" t="str">
        <x:v>approved_by</x:v>
      </x:c>
      <x:c r="P1" s="7" t="str">
        <x:v>approved_at</x:v>
      </x:c>
      <x:c r="Q1" s="7" t="str">
        <x:v>translation_version</x:v>
      </x:c>
      <x:c r="R1" s="7" t="str">
        <x:v>source_id</x:v>
      </x:c>
      <x:c r="S1" s="7" t="str">
        <x:v>source_page</x:v>
      </x:c>
    </x:row>
    <x:row r="2" ht="48" customHeight="1">
      <x:c r="A2" s="8" t="str">
        <x:v>act_adj_eye_level.01</x:v>
      </x:c>
      <x:c r="B2" s="8" t="str">
        <x:v>act_adj_eye_level</x:v>
      </x:c>
      <x:c r="C2" s="8" t="str">
        <x:v>recommendation</x:v>
      </x:c>
      <x:c r="D2" s="11" t="str">
        <x:v>ปรับงานให้อยู่ระดับสายตา</x:v>
      </x:c>
      <x:c r="E2" s="11" t="str">
        <x:v>Adjust the work to eye level.</x:v>
      </x:c>
      <x:c r="F2" s="8" t="str">
        <x:v>direct</x:v>
      </x:c>
      <x:c r="G2" s="8" t="str">
        <x:v>pass</x:v>
      </x:c>
      <x:c r="H2" s="8" t="str">
        <x:v>not_applicable</x:v>
      </x:c>
      <x:c r="I2" s="8" t="str">
        <x:v>pass</x:v>
      </x:c>
      <x:c r="J2" s="8" t="str">
        <x:v>pass</x:v>
      </x:c>
      <x:c r="K2" s="8" t="str">
        <x:v>pass</x:v>
      </x:c>
      <x:c r="L2" s="8" t="str">
        <x:v>pass</x:v>
      </x:c>
      <x:c r="M2" s="11" t="str"/>
      <x:c r="N2" s="8" t="str">
        <x:v>approved</x:v>
      </x:c>
      <x:c r="O2" s="8" t="str">
        <x:v>Methee</x:v>
      </x:c>
      <x:c r="P2" s="9" t="str">
        <x:v>⁠2026-07-29T00:00:00+07:00</x:v>
      </x:c>
      <x:c r="Q2" s="10" t="n">
        <x:v>1</x:v>
      </x:c>
      <x:c r="R2" s="8" t="str">
        <x:v>body_map_recommendations</x:v>
      </x:c>
      <x:c r="S2" s="8" t="str">
        <x:v>1-2</x:v>
      </x:c>
    </x:row>
    <x:row r="3" ht="48" customHeight="1">
      <x:c r="A3" s="8" t="str">
        <x:v>act_adj_eye_level.02</x:v>
      </x:c>
      <x:c r="B3" s="8" t="str">
        <x:v>act_adj_eye_level</x:v>
      </x:c>
      <x:c r="C3" s="8" t="str">
        <x:v>recommendation</x:v>
      </x:c>
      <x:c r="D3" s="11" t="str">
        <x:v>ลดการก้มคอ</x:v>
      </x:c>
      <x:c r="E3" s="11" t="str">
        <x:v>Reduce neck bending.</x:v>
      </x:c>
      <x:c r="F3" s="8" t="str">
        <x:v>direct</x:v>
      </x:c>
      <x:c r="G3" s="8" t="str">
        <x:v>pass</x:v>
      </x:c>
      <x:c r="H3" s="8" t="str">
        <x:v>not_applicable</x:v>
      </x:c>
      <x:c r="I3" s="8" t="str">
        <x:v>pass</x:v>
      </x:c>
      <x:c r="J3" s="8" t="str">
        <x:v>pass</x:v>
      </x:c>
      <x:c r="K3" s="8" t="str">
        <x:v>pass</x:v>
      </x:c>
      <x:c r="L3" s="8" t="str">
        <x:v>pass</x:v>
      </x:c>
      <x:c r="M3" s="11" t="str"/>
      <x:c r="N3" s="8" t="str">
        <x:v>approved</x:v>
      </x:c>
      <x:c r="O3" s="8" t="str">
        <x:v>Methee</x:v>
      </x:c>
      <x:c r="P3" s="9" t="str">
        <x:v>⁠2026-07-29T00:00:00+07:00</x:v>
      </x:c>
      <x:c r="Q3" s="10" t="n">
        <x:v>1</x:v>
      </x:c>
      <x:c r="R3" s="8" t="str">
        <x:v>body_map_recommendations</x:v>
      </x:c>
      <x:c r="S3" s="8" t="str">
        <x:v>1-2</x:v>
      </x:c>
    </x:row>
    <x:row r="4" ht="48" customHeight="1">
      <x:c r="A4" s="8" t="str">
        <x:v>act_adj_wrist.01</x:v>
      </x:c>
      <x:c r="B4" s="8" t="str">
        <x:v>act_adj_wrist</x:v>
      </x:c>
      <x:c r="C4" s="8" t="str">
        <x:v>recommendation</x:v>
      </x:c>
      <x:c r="D4" s="11" t="str">
        <x:v>ปรับด้ามจับเครื่องมือให้ข้อมืออยู่ในแนวตรง</x:v>
      </x:c>
      <x:c r="E4" s="11" t="str">
        <x:v>Keep the wrist in a neutral position.</x:v>
      </x:c>
      <x:c r="F4" s="8" t="str">
        <x:v>direct</x:v>
      </x:c>
      <x:c r="G4" s="8" t="str">
        <x:v>pass</x:v>
      </x:c>
      <x:c r="H4" s="8" t="str">
        <x:v>not_applicable</x:v>
      </x:c>
      <x:c r="I4" s="8" t="str">
        <x:v>pass</x:v>
      </x:c>
      <x:c r="J4" s="8" t="str">
        <x:v>pass</x:v>
      </x:c>
      <x:c r="K4" s="8" t="str">
        <x:v>pass</x:v>
      </x:c>
      <x:c r="L4" s="8" t="str">
        <x:v>pass</x:v>
      </x:c>
      <x:c r="M4" s="11" t="str"/>
      <x:c r="N4" s="8" t="str">
        <x:v>approved</x:v>
      </x:c>
      <x:c r="O4" s="8" t="str">
        <x:v>Methee</x:v>
      </x:c>
      <x:c r="P4" s="9" t="str">
        <x:v>⁠2026-07-29T00:00:00+07:00</x:v>
      </x:c>
      <x:c r="Q4" s="10" t="n">
        <x:v>1</x:v>
      </x:c>
      <x:c r="R4" s="8" t="str">
        <x:v>body_map_recommendations</x:v>
      </x:c>
      <x:c r="S4" s="8" t="str">
        <x:v>5-6</x:v>
      </x:c>
    </x:row>
    <x:row r="5" ht="48" customHeight="1">
      <x:c r="A5" s="8" t="str">
        <x:v>act_avoid_bend.01</x:v>
      </x:c>
      <x:c r="B5" s="8" t="str">
        <x:v>act_avoid_bend</x:v>
      </x:c>
      <x:c r="C5" s="8" t="str">
        <x:v>recommendation</x:v>
      </x:c>
      <x:c r="D5" s="11" t="str">
        <x:v>ลดการก้มโดยยกพื้นที่ทำงานให้สูงขึ้น</x:v>
      </x:c>
      <x:c r="E5" s="11" t="str">
        <x:v>Reduce bending by raising the work area.</x:v>
      </x:c>
      <x:c r="F5" s="8" t="str">
        <x:v>direct</x:v>
      </x:c>
      <x:c r="G5" s="8" t="str">
        <x:v>pass</x:v>
      </x:c>
      <x:c r="H5" s="8" t="str">
        <x:v>not_applicable</x:v>
      </x:c>
      <x:c r="I5" s="8" t="str">
        <x:v>pass</x:v>
      </x:c>
      <x:c r="J5" s="8" t="str">
        <x:v>pass</x:v>
      </x:c>
      <x:c r="K5" s="8" t="str">
        <x:v>pass</x:v>
      </x:c>
      <x:c r="L5" s="8" t="str">
        <x:v>pass</x:v>
      </x:c>
      <x:c r="M5" s="11" t="str"/>
      <x:c r="N5" s="8" t="str">
        <x:v>approved</x:v>
      </x:c>
      <x:c r="O5" s="8" t="str">
        <x:v>Methee</x:v>
      </x:c>
      <x:c r="P5" s="9" t="str">
        <x:v>⁠2026-07-29T00:00:00+07:00</x:v>
      </x:c>
      <x:c r="Q5" s="10" t="n">
        <x:v>1</x:v>
      </x:c>
      <x:c r="R5" s="8" t="str">
        <x:v>body_map_recommendations</x:v>
      </x:c>
      <x:c r="S5" s="8" t="str">
        <x:v>2-3</x:v>
      </x:c>
    </x:row>
    <x:row r="6" ht="48" customHeight="1">
      <x:c r="A6" s="8" t="str">
        <x:v>act_avoid_twist.01</x:v>
      </x:c>
      <x:c r="B6" s="8" t="str">
        <x:v>act_avoid_twist</x:v>
      </x:c>
      <x:c r="C6" s="8" t="str">
        <x:v>recommendation</x:v>
      </x:c>
      <x:c r="D6" s="11" t="str">
        <x:v>หลีกเลี่ยงการบิดลำตัวหรือเอียงตัวขณะทำงาน</x:v>
      </x:c>
      <x:c r="E6" s="11" t="str">
        <x:v>Avoid twisting or side bending while working.</x:v>
      </x:c>
      <x:c r="F6" s="8" t="str">
        <x:v>direct</x:v>
      </x:c>
      <x:c r="G6" s="8" t="str">
        <x:v>pass</x:v>
      </x:c>
      <x:c r="H6" s="8" t="str">
        <x:v>not_applicable</x:v>
      </x:c>
      <x:c r="I6" s="8" t="str">
        <x:v>pass</x:v>
      </x:c>
      <x:c r="J6" s="8" t="str">
        <x:v>pass</x:v>
      </x:c>
      <x:c r="K6" s="8" t="str">
        <x:v>pass</x:v>
      </x:c>
      <x:c r="L6" s="8" t="str">
        <x:v>pass</x:v>
      </x:c>
      <x:c r="M6" s="11" t="str"/>
      <x:c r="N6" s="8" t="str">
        <x:v>approved</x:v>
      </x:c>
      <x:c r="O6" s="8" t="str">
        <x:v>Methee</x:v>
      </x:c>
      <x:c r="P6" s="9" t="str">
        <x:v>⁠2026-07-29T00:00:00+07:00</x:v>
      </x:c>
      <x:c r="Q6" s="10" t="n">
        <x:v>1</x:v>
      </x:c>
      <x:c r="R6" s="8" t="str">
        <x:v>body_map_recommendations</x:v>
      </x:c>
      <x:c r="S6" s="8" t="str">
        <x:v>2-3</x:v>
      </x:c>
    </x:row>
    <x:row r="7" ht="48" customHeight="1">
      <x:c r="A7" s="8" t="str">
        <x:v>act_body_arms_high.01</x:v>
      </x:c>
      <x:c r="B7" s="8" t="str">
        <x:v>act_body_arms_high</x:v>
      </x:c>
      <x:c r="C7" s="8" t="str">
        <x:v>recommendation</x:v>
      </x:c>
      <x:c r="D7" s="11" t="str">
        <x:v>ไม่ยกแขนเหนือไหล่ต่อเนื่องเกิน 2 นาที</x:v>
      </x:c>
      <x:c r="E7" s="11" t="str">
        <x:v>Do not keep arms above shoulder level for more than 2 minutes.</x:v>
      </x:c>
      <x:c r="F7" s="8" t="str">
        <x:v>direct</x:v>
      </x:c>
      <x:c r="G7" s="8" t="str">
        <x:v>pass</x:v>
      </x:c>
      <x:c r="H7" s="8" t="str">
        <x:v>pass</x:v>
      </x:c>
      <x:c r="I7" s="8" t="str">
        <x:v>pass</x:v>
      </x:c>
      <x:c r="J7" s="8" t="str">
        <x:v>pass</x:v>
      </x:c>
      <x:c r="K7" s="8" t="str">
        <x:v>pass</x:v>
      </x:c>
      <x:c r="L7" s="8" t="str">
        <x:v>pass</x:v>
      </x:c>
      <x:c r="M7" s="11" t="str"/>
      <x:c r="N7" s="8" t="str">
        <x:v>approved</x:v>
      </x:c>
      <x:c r="O7" s="8" t="str">
        <x:v>Methee</x:v>
      </x:c>
      <x:c r="P7" s="9" t="str">
        <x:v>⁠2026-07-29T00:00:00+07:00</x:v>
      </x:c>
      <x:c r="Q7" s="10" t="n">
        <x:v>1</x:v>
      </x:c>
      <x:c r="R7" s="8" t="str">
        <x:v>body_map_recommendations</x:v>
      </x:c>
      <x:c r="S7" s="8" t="str">
        <x:v>4</x:v>
      </x:c>
    </x:row>
    <x:row r="8" ht="48" customHeight="1">
      <x:c r="A8" s="8" t="str">
        <x:v>act_body_arms_high.02</x:v>
      </x:c>
      <x:c r="B8" s="8" t="str">
        <x:v>act_body_arms_high</x:v>
      </x:c>
      <x:c r="C8" s="8" t="str">
        <x:v>recommendation</x:v>
      </x:c>
      <x:c r="D8" s="11" t="str">
        <x:v>พักแขน 3-5 นาทีทุก 15-20 นาที</x:v>
      </x:c>
      <x:c r="E8" s="11" t="str">
        <x:v>Rest 3-5 minutes every 15-20 minutes.</x:v>
      </x:c>
      <x:c r="F8" s="8" t="str">
        <x:v>direct</x:v>
      </x:c>
      <x:c r="G8" s="8" t="str">
        <x:v>pass</x:v>
      </x:c>
      <x:c r="H8" s="8" t="str">
        <x:v>pass</x:v>
      </x:c>
      <x:c r="I8" s="8" t="str">
        <x:v>pass</x:v>
      </x:c>
      <x:c r="J8" s="8" t="str">
        <x:v>pass</x:v>
      </x:c>
      <x:c r="K8" s="8" t="str">
        <x:v>pass</x:v>
      </x:c>
      <x:c r="L8" s="8" t="str">
        <x:v>pass</x:v>
      </x:c>
      <x:c r="M8" s="11" t="str"/>
      <x:c r="N8" s="8" t="str">
        <x:v>approved</x:v>
      </x:c>
      <x:c r="O8" s="8" t="str">
        <x:v>Methee</x:v>
      </x:c>
      <x:c r="P8" s="9" t="str">
        <x:v>⁠2026-07-29T00:00:00+07:00</x:v>
      </x:c>
      <x:c r="Q8" s="10" t="n">
        <x:v>1</x:v>
      </x:c>
      <x:c r="R8" s="8" t="str">
        <x:v>body_map_recommendations</x:v>
      </x:c>
      <x:c r="S8" s="8" t="str">
        <x:v>4</x:v>
      </x:c>
    </x:row>
    <x:row r="9" ht="48" customHeight="1">
      <x:c r="A9" s="8" t="str">
        <x:v>act_body_arms_high.03</x:v>
      </x:c>
      <x:c r="B9" s="8" t="str">
        <x:v>act_body_arms_high</x:v>
      </x:c>
      <x:c r="C9" s="8" t="str">
        <x:v>recommendation</x:v>
      </x:c>
      <x:c r="D9" s="11" t="str">
        <x:v>ใช้เครื่องมือด้ามยาวหรือแท่นยืนที่มั่นคง</x:v>
      </x:c>
      <x:c r="E9" s="11" t="str">
        <x:v>Use long-handled tools or a stable platform.</x:v>
      </x:c>
      <x:c r="F9" s="8" t="str">
        <x:v>direct</x:v>
      </x:c>
      <x:c r="G9" s="8" t="str">
        <x:v>pass</x:v>
      </x:c>
      <x:c r="H9" s="8" t="str">
        <x:v>not_applicable</x:v>
      </x:c>
      <x:c r="I9" s="8" t="str">
        <x:v>pass</x:v>
      </x:c>
      <x:c r="J9" s="8" t="str">
        <x:v>pass</x:v>
      </x:c>
      <x:c r="K9" s="8" t="str">
        <x:v>pass</x:v>
      </x:c>
      <x:c r="L9" s="8" t="str">
        <x:v>pass</x:v>
      </x:c>
      <x:c r="M9" s="11" t="str"/>
      <x:c r="N9" s="8" t="str">
        <x:v>approved</x:v>
      </x:c>
      <x:c r="O9" s="8" t="str">
        <x:v>Methee</x:v>
      </x:c>
      <x:c r="P9" s="9" t="str">
        <x:v>⁠2026-07-29T00:00:00+07:00</x:v>
      </x:c>
      <x:c r="Q9" s="10" t="n">
        <x:v>1</x:v>
      </x:c>
      <x:c r="R9" s="8" t="str">
        <x:v>body_map_recommendations</x:v>
      </x:c>
      <x:c r="S9" s="8" t="str">
        <x:v>4</x:v>
      </x:c>
    </x:row>
    <x:row r="10" ht="48" customHeight="1">
      <x:c r="A10" s="8" t="str">
        <x:v>act_body_arms_medium.01</x:v>
      </x:c>
      <x:c r="B10" s="8" t="str">
        <x:v>act_body_arms_medium</x:v>
      </x:c>
      <x:c r="C10" s="8" t="str">
        <x:v>recommendation</x:v>
      </x:c>
      <x:c r="D10" s="11" t="str">
        <x:v>จัดวัสดุให้อยู่ในระยะเอื้อมไม่เกิน 40 ซม.</x:v>
      </x:c>
      <x:c r="E10" s="11" t="str">
        <x:v>Keep materials within 40 cm of the body.</x:v>
      </x:c>
      <x:c r="F10" s="8" t="str">
        <x:v>direct</x:v>
      </x:c>
      <x:c r="G10" s="8" t="str">
        <x:v>pass</x:v>
      </x:c>
      <x:c r="H10" s="8" t="str">
        <x:v>pass</x:v>
      </x:c>
      <x:c r="I10" s="8" t="str">
        <x:v>pass</x:v>
      </x:c>
      <x:c r="J10" s="8" t="str">
        <x:v>pass</x:v>
      </x:c>
      <x:c r="K10" s="8" t="str">
        <x:v>pass</x:v>
      </x:c>
      <x:c r="L10" s="8" t="str">
        <x:v>pass</x:v>
      </x:c>
      <x:c r="M10" s="11" t="str"/>
      <x:c r="N10" s="8" t="str">
        <x:v>approved</x:v>
      </x:c>
      <x:c r="O10" s="8" t="str">
        <x:v>Methee</x:v>
      </x:c>
      <x:c r="P10" s="9" t="str">
        <x:v>⁠2026-07-29T00:00:00+07:00</x:v>
      </x:c>
      <x:c r="Q10" s="10" t="n">
        <x:v>1</x:v>
      </x:c>
      <x:c r="R10" s="8" t="str">
        <x:v>body_map_recommendations</x:v>
      </x:c>
      <x:c r="S10" s="8" t="str">
        <x:v>4</x:v>
      </x:c>
    </x:row>
    <x:row r="11" ht="48" customHeight="1">
      <x:c r="A11" s="8" t="str">
        <x:v>act_body_arms_medium.02</x:v>
      </x:c>
      <x:c r="B11" s="8" t="str">
        <x:v>act_body_arms_medium</x:v>
      </x:c>
      <x:c r="C11" s="8" t="str">
        <x:v>recommendation</x:v>
      </x:c>
      <x:c r="D11" s="11" t="str">
        <x:v>วางอุปกรณ์เมื่อไม่ใช้</x:v>
      </x:c>
      <x:c r="E11" s="11" t="str">
        <x:v>Put tools down when they are not in use.</x:v>
      </x:c>
      <x:c r="F11" s="8" t="str">
        <x:v>direct</x:v>
      </x:c>
      <x:c r="G11" s="8" t="str">
        <x:v>pass</x:v>
      </x:c>
      <x:c r="H11" s="8" t="str">
        <x:v>not_applicable</x:v>
      </x:c>
      <x:c r="I11" s="8" t="str">
        <x:v>pass</x:v>
      </x:c>
      <x:c r="J11" s="8" t="str">
        <x:v>pass</x:v>
      </x:c>
      <x:c r="K11" s="8" t="str">
        <x:v>pass</x:v>
      </x:c>
      <x:c r="L11" s="8" t="str">
        <x:v>pass</x:v>
      </x:c>
      <x:c r="M11" s="11" t="str"/>
      <x:c r="N11" s="8" t="str">
        <x:v>approved</x:v>
      </x:c>
      <x:c r="O11" s="8" t="str">
        <x:v>Methee</x:v>
      </x:c>
      <x:c r="P11" s="9" t="str">
        <x:v>⁠2026-07-29T00:00:00+07:00</x:v>
      </x:c>
      <x:c r="Q11" s="10" t="n">
        <x:v>1</x:v>
      </x:c>
      <x:c r="R11" s="8" t="str">
        <x:v>body_map_recommendations</x:v>
      </x:c>
      <x:c r="S11" s="8" t="str">
        <x:v>4</x:v>
      </x:c>
    </x:row>
    <x:row r="12" ht="48" customHeight="1">
      <x:c r="A12" s="8" t="str">
        <x:v>act_body_arms_medium.03</x:v>
      </x:c>
      <x:c r="B12" s="8" t="str">
        <x:v>act_body_arms_medium</x:v>
      </x:c>
      <x:c r="C12" s="8" t="str">
        <x:v>recommendation</x:v>
      </x:c>
      <x:c r="D12" s="11" t="str">
        <x:v>พักไหล่ทุก 30 นาที และให้งานอยู่ต่ำกว่าระดับไหล่</x:v>
      </x:c>
      <x:c r="E12" s="11" t="str">
        <x:v>Rest the shoulders every 30 minutes and keep the work below shoulder height.</x:v>
      </x:c>
      <x:c r="F12" s="8" t="str">
        <x:v>direct</x:v>
      </x:c>
      <x:c r="G12" s="8" t="str">
        <x:v>pass</x:v>
      </x:c>
      <x:c r="H12" s="8" t="str">
        <x:v>pass</x:v>
      </x:c>
      <x:c r="I12" s="8" t="str">
        <x:v>pass</x:v>
      </x:c>
      <x:c r="J12" s="8" t="str">
        <x:v>pass</x:v>
      </x:c>
      <x:c r="K12" s="8" t="str">
        <x:v>pass</x:v>
      </x:c>
      <x:c r="L12" s="8" t="str">
        <x:v>pass</x:v>
      </x:c>
      <x:c r="M12" s="11" t="str"/>
      <x:c r="N12" s="8" t="str">
        <x:v>approved</x:v>
      </x:c>
      <x:c r="O12" s="8" t="str">
        <x:v>Methee</x:v>
      </x:c>
      <x:c r="P12" s="9" t="str">
        <x:v>⁠2026-07-29T00:00:00+07:00</x:v>
      </x:c>
      <x:c r="Q12" s="10" t="n">
        <x:v>1</x:v>
      </x:c>
      <x:c r="R12" s="8" t="str">
        <x:v>body_map_recommendations</x:v>
      </x:c>
      <x:c r="S12" s="8" t="str">
        <x:v>4</x:v>
      </x:c>
    </x:row>
    <x:row r="13" ht="48" customHeight="1">
      <x:c r="A13" s="8" t="str">
        <x:v>act_body_arms_very_high.01</x:v>
      </x:c>
      <x:c r="B13" s="8" t="str">
        <x:v>act_body_arms_very_high</x:v>
      </x:c>
      <x:c r="C13" s="8" t="str">
        <x:v>recommendation</x:v>
      </x:c>
      <x:c r="D13" s="11" t="str">
        <x:v>จำกัดงานเหนือศีรษะเป็นรอบสั้น</x:v>
      </x:c>
      <x:c r="E13" s="11" t="str">
        <x:v>Limit overhead work to short rounds.</x:v>
      </x:c>
      <x:c r="F13" s="8" t="str">
        <x:v>direct</x:v>
      </x:c>
      <x:c r="G13" s="8" t="str">
        <x:v>pass</x:v>
      </x:c>
      <x:c r="H13" s="8" t="str">
        <x:v>not_applicable</x:v>
      </x:c>
      <x:c r="I13" s="8" t="str">
        <x:v>pass</x:v>
      </x:c>
      <x:c r="J13" s="8" t="str">
        <x:v>pass</x:v>
      </x:c>
      <x:c r="K13" s="8" t="str">
        <x:v>pass</x:v>
      </x:c>
      <x:c r="L13" s="8" t="str">
        <x:v>pass</x:v>
      </x:c>
      <x:c r="M13" s="11" t="str"/>
      <x:c r="N13" s="8" t="str">
        <x:v>approved</x:v>
      </x:c>
      <x:c r="O13" s="8" t="str">
        <x:v>Methee</x:v>
      </x:c>
      <x:c r="P13" s="9" t="str">
        <x:v>⁠2026-07-29T00:00:00+07:00</x:v>
      </x:c>
      <x:c r="Q13" s="10" t="n">
        <x:v>1</x:v>
      </x:c>
      <x:c r="R13" s="8" t="str">
        <x:v>body_map_recommendations</x:v>
      </x:c>
      <x:c r="S13" s="8" t="str">
        <x:v>4-5</x:v>
      </x:c>
    </x:row>
    <x:row r="14" ht="48" customHeight="1">
      <x:c r="A14" s="8" t="str">
        <x:v>act_body_arms_very_high.02</x:v>
      </x:c>
      <x:c r="B14" s="8" t="str">
        <x:v>act_body_arms_very_high</x:v>
      </x:c>
      <x:c r="C14" s="8" t="str">
        <x:v>recommendation</x:v>
      </x:c>
      <x:c r="D14" s="11" t="str">
        <x:v>ใช้เครื่องมือด้ามยาวที่น้ำหนักเบา</x:v>
      </x:c>
      <x:c r="E14" s="11" t="str">
        <x:v>Use lighter long-handled tools.</x:v>
      </x:c>
      <x:c r="F14" s="8" t="str">
        <x:v>direct</x:v>
      </x:c>
      <x:c r="G14" s="8" t="str">
        <x:v>pass</x:v>
      </x:c>
      <x:c r="H14" s="8" t="str">
        <x:v>not_applicable</x:v>
      </x:c>
      <x:c r="I14" s="8" t="str">
        <x:v>pass</x:v>
      </x:c>
      <x:c r="J14" s="8" t="str">
        <x:v>pass</x:v>
      </x:c>
      <x:c r="K14" s="8" t="str">
        <x:v>pass</x:v>
      </x:c>
      <x:c r="L14" s="8" t="str">
        <x:v>pass</x:v>
      </x:c>
      <x:c r="M14" s="11" t="str"/>
      <x:c r="N14" s="8" t="str">
        <x:v>approved</x:v>
      </x:c>
      <x:c r="O14" s="8" t="str">
        <x:v>Methee</x:v>
      </x:c>
      <x:c r="P14" s="9" t="str">
        <x:v>⁠2026-07-29T00:00:00+07:00</x:v>
      </x:c>
      <x:c r="Q14" s="10" t="n">
        <x:v>1</x:v>
      </x:c>
      <x:c r="R14" s="8" t="str">
        <x:v>body_map_recommendations</x:v>
      </x:c>
      <x:c r="S14" s="8" t="str">
        <x:v>4-5</x:v>
      </x:c>
    </x:row>
    <x:row r="15" ht="48" customHeight="1">
      <x:c r="A15" s="8" t="str">
        <x:v>act_body_arms_very_high.03</x:v>
      </x:c>
      <x:c r="B15" s="8" t="str">
        <x:v>act_body_arms_very_high</x:v>
      </x:c>
      <x:c r="C15" s="8" t="str">
        <x:v>recommendation</x:v>
      </x:c>
      <x:c r="D15" s="11" t="str">
        <x:v>สลับไปทำงานที่ใช้แขนต่ำกว่าระดับไหล่</x:v>
      </x:c>
      <x:c r="E15" s="11" t="str">
        <x:v>Rotate to work below shoulder level.</x:v>
      </x:c>
      <x:c r="F15" s="8" t="str">
        <x:v>direct</x:v>
      </x:c>
      <x:c r="G15" s="8" t="str">
        <x:v>pass</x:v>
      </x:c>
      <x:c r="H15" s="8" t="str">
        <x:v>not_applicable</x:v>
      </x:c>
      <x:c r="I15" s="8" t="str">
        <x:v>pass</x:v>
      </x:c>
      <x:c r="J15" s="8" t="str">
        <x:v>pass</x:v>
      </x:c>
      <x:c r="K15" s="8" t="str">
        <x:v>pass</x:v>
      </x:c>
      <x:c r="L15" s="8" t="str">
        <x:v>pass</x:v>
      </x:c>
      <x:c r="M15" s="11" t="str"/>
      <x:c r="N15" s="8" t="str">
        <x:v>approved</x:v>
      </x:c>
      <x:c r="O15" s="8" t="str">
        <x:v>Methee</x:v>
      </x:c>
      <x:c r="P15" s="9" t="str">
        <x:v>⁠2026-07-29T00:00:00+07:00</x:v>
      </x:c>
      <x:c r="Q15" s="10" t="n">
        <x:v>1</x:v>
      </x:c>
      <x:c r="R15" s="8" t="str">
        <x:v>body_map_recommendations</x:v>
      </x:c>
      <x:c r="S15" s="8" t="str">
        <x:v>4-5</x:v>
      </x:c>
    </x:row>
    <x:row r="16" ht="48" customHeight="1">
      <x:c r="A16" s="8" t="str">
        <x:v>act_body_legs_high.01</x:v>
      </x:c>
      <x:c r="B16" s="8" t="str">
        <x:v>act_body_legs_high</x:v>
      </x:c>
      <x:c r="C16" s="8" t="str">
        <x:v>recommendation</x:v>
      </x:c>
      <x:c r="D16" s="11" t="str">
        <x:v>ไม่นั่งยองหรือคุกเข่าต่อเนื่องเกิน 15 นาที</x:v>
      </x:c>
      <x:c r="E16" s="11" t="str">
        <x:v>Do not squat or kneel continuously for more than 15 minutes.</x:v>
      </x:c>
      <x:c r="F16" s="8" t="str">
        <x:v>direct</x:v>
      </x:c>
      <x:c r="G16" s="8" t="str">
        <x:v>pass</x:v>
      </x:c>
      <x:c r="H16" s="8" t="str">
        <x:v>pass</x:v>
      </x:c>
      <x:c r="I16" s="8" t="str">
        <x:v>pass</x:v>
      </x:c>
      <x:c r="J16" s="8" t="str">
        <x:v>pass</x:v>
      </x:c>
      <x:c r="K16" s="8" t="str">
        <x:v>pass</x:v>
      </x:c>
      <x:c r="L16" s="8" t="str">
        <x:v>pass</x:v>
      </x:c>
      <x:c r="M16" s="11" t="str"/>
      <x:c r="N16" s="8" t="str">
        <x:v>approved</x:v>
      </x:c>
      <x:c r="O16" s="8" t="str">
        <x:v>Methee</x:v>
      </x:c>
      <x:c r="P16" s="9" t="str">
        <x:v>⁠2026-07-29T00:00:00+07:00</x:v>
      </x:c>
      <x:c r="Q16" s="10" t="n">
        <x:v>1</x:v>
      </x:c>
      <x:c r="R16" s="8" t="str">
        <x:v>body_map_recommendations</x:v>
      </x:c>
      <x:c r="S16" s="8" t="str">
        <x:v>6-7</x:v>
      </x:c>
    </x:row>
    <x:row r="17" ht="48" customHeight="1">
      <x:c r="A17" s="8" t="str">
        <x:v>act_body_legs_high.02</x:v>
      </x:c>
      <x:c r="B17" s="8" t="str">
        <x:v>act_body_legs_high</x:v>
      </x:c>
      <x:c r="C17" s="8" t="str">
        <x:v>recommendation</x:v>
      </x:c>
      <x:c r="D17" s="11" t="str">
        <x:v>ลุกเดิน 3-5 นาทีทุก 15 นาที</x:v>
      </x:c>
      <x:c r="E17" s="11" t="str">
        <x:v>Walk 3-5 minutes every 15 minutes.</x:v>
      </x:c>
      <x:c r="F17" s="8" t="str">
        <x:v>direct</x:v>
      </x:c>
      <x:c r="G17" s="8" t="str">
        <x:v>pass</x:v>
      </x:c>
      <x:c r="H17" s="8" t="str">
        <x:v>pass</x:v>
      </x:c>
      <x:c r="I17" s="8" t="str">
        <x:v>pass</x:v>
      </x:c>
      <x:c r="J17" s="8" t="str">
        <x:v>pass</x:v>
      </x:c>
      <x:c r="K17" s="8" t="str">
        <x:v>pass</x:v>
      </x:c>
      <x:c r="L17" s="8" t="str">
        <x:v>pass</x:v>
      </x:c>
      <x:c r="M17" s="11" t="str"/>
      <x:c r="N17" s="8" t="str">
        <x:v>approved</x:v>
      </x:c>
      <x:c r="O17" s="8" t="str">
        <x:v>Methee</x:v>
      </x:c>
      <x:c r="P17" s="9" t="str">
        <x:v>⁠2026-07-29T00:00:00+07:00</x:v>
      </x:c>
      <x:c r="Q17" s="10" t="n">
        <x:v>1</x:v>
      </x:c>
      <x:c r="R17" s="8" t="str">
        <x:v>body_map_recommendations</x:v>
      </x:c>
      <x:c r="S17" s="8" t="str">
        <x:v>6-7</x:v>
      </x:c>
    </x:row>
    <x:row r="18" ht="48" customHeight="1">
      <x:c r="A18" s="8" t="str">
        <x:v>act_body_legs_high.03</x:v>
      </x:c>
      <x:c r="B18" s="8" t="str">
        <x:v>act_body_legs_high</x:v>
      </x:c>
      <x:c r="C18" s="8" t="str">
        <x:v>recommendation</x:v>
      </x:c>
      <x:c r="D18" s="11" t="str">
        <x:v>ใช้เก้าอี้เตี้ยหรือแผ่นรองเข่า</x:v>
      </x:c>
      <x:c r="E18" s="11" t="str">
        <x:v>Use a low stool or knee pad.</x:v>
      </x:c>
      <x:c r="F18" s="8" t="str">
        <x:v>direct</x:v>
      </x:c>
      <x:c r="G18" s="8" t="str">
        <x:v>pass</x:v>
      </x:c>
      <x:c r="H18" s="8" t="str">
        <x:v>not_applicable</x:v>
      </x:c>
      <x:c r="I18" s="8" t="str">
        <x:v>pass</x:v>
      </x:c>
      <x:c r="J18" s="8" t="str">
        <x:v>pass</x:v>
      </x:c>
      <x:c r="K18" s="8" t="str">
        <x:v>pass</x:v>
      </x:c>
      <x:c r="L18" s="8" t="str">
        <x:v>pass</x:v>
      </x:c>
      <x:c r="M18" s="11" t="str"/>
      <x:c r="N18" s="8" t="str">
        <x:v>approved</x:v>
      </x:c>
      <x:c r="O18" s="8" t="str">
        <x:v>Methee</x:v>
      </x:c>
      <x:c r="P18" s="9" t="str">
        <x:v>⁠2026-07-29T00:00:00+07:00</x:v>
      </x:c>
      <x:c r="Q18" s="10" t="n">
        <x:v>1</x:v>
      </x:c>
      <x:c r="R18" s="8" t="str">
        <x:v>body_map_recommendations</x:v>
      </x:c>
      <x:c r="S18" s="8" t="str">
        <x:v>6-7</x:v>
      </x:c>
    </x:row>
    <x:row r="19" ht="48" customHeight="1">
      <x:c r="A19" s="8" t="str">
        <x:v>act_body_legs_medium.01</x:v>
      </x:c>
      <x:c r="B19" s="8" t="str">
        <x:v>act_body_legs_medium</x:v>
      </x:c>
      <x:c r="C19" s="8" t="str">
        <x:v>recommendation</x:v>
      </x:c>
      <x:c r="D19" s="11" t="str">
        <x:v>ลุกยืนหรือเดินทุก 20 นาที</x:v>
      </x:c>
      <x:c r="E19" s="11" t="str">
        <x:v>Stand up or walk every 20 minutes.</x:v>
      </x:c>
      <x:c r="F19" s="8" t="str">
        <x:v>direct</x:v>
      </x:c>
      <x:c r="G19" s="8" t="str">
        <x:v>pass</x:v>
      </x:c>
      <x:c r="H19" s="8" t="str">
        <x:v>pass</x:v>
      </x:c>
      <x:c r="I19" s="8" t="str">
        <x:v>pass</x:v>
      </x:c>
      <x:c r="J19" s="8" t="str">
        <x:v>pass</x:v>
      </x:c>
      <x:c r="K19" s="8" t="str">
        <x:v>pass</x:v>
      </x:c>
      <x:c r="L19" s="8" t="str">
        <x:v>pass</x:v>
      </x:c>
      <x:c r="M19" s="11" t="str"/>
      <x:c r="N19" s="8" t="str">
        <x:v>approved</x:v>
      </x:c>
      <x:c r="O19" s="8" t="str">
        <x:v>Methee</x:v>
      </x:c>
      <x:c r="P19" s="9" t="str">
        <x:v>⁠2026-07-29T00:00:00+07:00</x:v>
      </x:c>
      <x:c r="Q19" s="10" t="n">
        <x:v>1</x:v>
      </x:c>
      <x:c r="R19" s="8" t="str">
        <x:v>body_map_recommendations</x:v>
      </x:c>
      <x:c r="S19" s="8" t="str">
        <x:v>6</x:v>
      </x:c>
    </x:row>
    <x:row r="20" ht="48" customHeight="1">
      <x:c r="A20" s="8" t="str">
        <x:v>act_body_legs_medium.02</x:v>
      </x:c>
      <x:c r="B20" s="8" t="str">
        <x:v>act_body_legs_medium</x:v>
      </x:c>
      <x:c r="C20" s="8" t="str">
        <x:v>recommendation</x:v>
      </x:c>
      <x:c r="D20" s="11" t="str">
        <x:v>ใช้เบาะรองนั่งหรือแผ่นรองเข่า</x:v>
      </x:c>
      <x:c r="E20" s="11" t="str">
        <x:v>Use a squatting cushion or knee pad.</x:v>
      </x:c>
      <x:c r="F20" s="8" t="str">
        <x:v>direct</x:v>
      </x:c>
      <x:c r="G20" s="8" t="str">
        <x:v>pass</x:v>
      </x:c>
      <x:c r="H20" s="8" t="str">
        <x:v>not_applicable</x:v>
      </x:c>
      <x:c r="I20" s="8" t="str">
        <x:v>pass</x:v>
      </x:c>
      <x:c r="J20" s="8" t="str">
        <x:v>pass</x:v>
      </x:c>
      <x:c r="K20" s="8" t="str">
        <x:v>pass</x:v>
      </x:c>
      <x:c r="L20" s="8" t="str">
        <x:v>pass</x:v>
      </x:c>
      <x:c r="M20" s="11" t="str"/>
      <x:c r="N20" s="8" t="str">
        <x:v>approved</x:v>
      </x:c>
      <x:c r="O20" s="8" t="str">
        <x:v>Methee</x:v>
      </x:c>
      <x:c r="P20" s="9" t="str">
        <x:v>⁠2026-07-29T00:00:00+07:00</x:v>
      </x:c>
      <x:c r="Q20" s="10" t="n">
        <x:v>1</x:v>
      </x:c>
      <x:c r="R20" s="8" t="str">
        <x:v>body_map_recommendations</x:v>
      </x:c>
      <x:c r="S20" s="8" t="str">
        <x:v>6</x:v>
      </x:c>
    </x:row>
    <x:row r="21" ht="48" customHeight="1">
      <x:c r="A21" s="8" t="str">
        <x:v>act_body_legs_medium.03</x:v>
      </x:c>
      <x:c r="B21" s="8" t="str">
        <x:v>act_body_legs_medium</x:v>
      </x:c>
      <x:c r="C21" s="8" t="str">
        <x:v>recommendation</x:v>
      </x:c>
      <x:c r="D21" s="11" t="str">
        <x:v>สลับระหว่างนั่ง ยืน และเดิน</x:v>
      </x:c>
      <x:c r="E21" s="11" t="str">
        <x:v>Alternate between sitting, standing, and walking.</x:v>
      </x:c>
      <x:c r="F21" s="8" t="str">
        <x:v>direct</x:v>
      </x:c>
      <x:c r="G21" s="8" t="str">
        <x:v>pass</x:v>
      </x:c>
      <x:c r="H21" s="8" t="str">
        <x:v>not_applicable</x:v>
      </x:c>
      <x:c r="I21" s="8" t="str">
        <x:v>pass</x:v>
      </x:c>
      <x:c r="J21" s="8" t="str">
        <x:v>pass</x:v>
      </x:c>
      <x:c r="K21" s="8" t="str">
        <x:v>pass</x:v>
      </x:c>
      <x:c r="L21" s="8" t="str">
        <x:v>pass</x:v>
      </x:c>
      <x:c r="M21" s="11" t="str"/>
      <x:c r="N21" s="8" t="str">
        <x:v>approved</x:v>
      </x:c>
      <x:c r="O21" s="8" t="str">
        <x:v>Methee</x:v>
      </x:c>
      <x:c r="P21" s="9" t="str">
        <x:v>⁠2026-07-29T00:00:00+07:00</x:v>
      </x:c>
      <x:c r="Q21" s="10" t="n">
        <x:v>1</x:v>
      </x:c>
      <x:c r="R21" s="8" t="str">
        <x:v>body_map_recommendations</x:v>
      </x:c>
      <x:c r="S21" s="8" t="str">
        <x:v>6</x:v>
      </x:c>
    </x:row>
    <x:row r="22" ht="48" customHeight="1">
      <x:c r="A22" s="8" t="str">
        <x:v>act_body_legs_very_high.01</x:v>
      </x:c>
      <x:c r="B22" s="8" t="str">
        <x:v>act_body_legs_very_high</x:v>
      </x:c>
      <x:c r="C22" s="8" t="str">
        <x:v>recommendation</x:v>
      </x:c>
      <x:c r="D22" s="11" t="str">
        <x:v>หลีกเลี่ยงการนั่งยองหรือคุกเข่าเกิน 10 นาที</x:v>
      </x:c>
      <x:c r="E22" s="11" t="str">
        <x:v>Avoid squatting or kneeling for more than 10 minutes.</x:v>
      </x:c>
      <x:c r="F22" s="8" t="str">
        <x:v>direct</x:v>
      </x:c>
      <x:c r="G22" s="8" t="str">
        <x:v>pass</x:v>
      </x:c>
      <x:c r="H22" s="8" t="str">
        <x:v>pass</x:v>
      </x:c>
      <x:c r="I22" s="8" t="str">
        <x:v>pass</x:v>
      </x:c>
      <x:c r="J22" s="8" t="str">
        <x:v>pass</x:v>
      </x:c>
      <x:c r="K22" s="8" t="str">
        <x:v>pass</x:v>
      </x:c>
      <x:c r="L22" s="8" t="str">
        <x:v>pass</x:v>
      </x:c>
      <x:c r="M22" s="11" t="str"/>
      <x:c r="N22" s="8" t="str">
        <x:v>approved</x:v>
      </x:c>
      <x:c r="O22" s="8" t="str">
        <x:v>Methee</x:v>
      </x:c>
      <x:c r="P22" s="9" t="str">
        <x:v>⁠2026-07-29T00:00:00+07:00</x:v>
      </x:c>
      <x:c r="Q22" s="10" t="n">
        <x:v>1</x:v>
      </x:c>
      <x:c r="R22" s="8" t="str">
        <x:v>body_map_recommendations</x:v>
      </x:c>
      <x:c r="S22" s="8" t="str">
        <x:v>7</x:v>
      </x:c>
    </x:row>
    <x:row r="23" ht="48" customHeight="1">
      <x:c r="A23" s="8" t="str">
        <x:v>act_body_legs_very_high.02</x:v>
      </x:c>
      <x:c r="B23" s="8" t="str">
        <x:v>act_body_legs_very_high</x:v>
      </x:c>
      <x:c r="C23" s="8" t="str">
        <x:v>recommendation</x:v>
      </x:c>
      <x:c r="D23" s="11" t="str">
        <x:v>พักทุก 10-15 นาที</x:v>
      </x:c>
      <x:c r="E23" s="11" t="str">
        <x:v>Rest every 10-15 minutes.</x:v>
      </x:c>
      <x:c r="F23" s="8" t="str">
        <x:v>direct</x:v>
      </x:c>
      <x:c r="G23" s="8" t="str">
        <x:v>pass</x:v>
      </x:c>
      <x:c r="H23" s="8" t="str">
        <x:v>pass</x:v>
      </x:c>
      <x:c r="I23" s="8" t="str">
        <x:v>pass</x:v>
      </x:c>
      <x:c r="J23" s="8" t="str">
        <x:v>pass</x:v>
      </x:c>
      <x:c r="K23" s="8" t="str">
        <x:v>pass</x:v>
      </x:c>
      <x:c r="L23" s="8" t="str">
        <x:v>pass</x:v>
      </x:c>
      <x:c r="M23" s="11" t="str"/>
      <x:c r="N23" s="8" t="str">
        <x:v>approved</x:v>
      </x:c>
      <x:c r="O23" s="8" t="str">
        <x:v>Methee</x:v>
      </x:c>
      <x:c r="P23" s="9" t="str">
        <x:v>⁠2026-07-29T00:00:00+07:00</x:v>
      </x:c>
      <x:c r="Q23" s="10" t="n">
        <x:v>1</x:v>
      </x:c>
      <x:c r="R23" s="8" t="str">
        <x:v>body_map_recommendations</x:v>
      </x:c>
      <x:c r="S23" s="8" t="str">
        <x:v>7</x:v>
      </x:c>
    </x:row>
    <x:row r="24" ht="48" customHeight="1">
      <x:c r="A24" s="8" t="str">
        <x:v>act_body_legs_very_high.03</x:v>
      </x:c>
      <x:c r="B24" s="8" t="str">
        <x:v>act_body_legs_very_high</x:v>
      </x:c>
      <x:c r="C24" s="8" t="str">
        <x:v>recommendation</x:v>
      </x:c>
      <x:c r="D24" s="11" t="str">
        <x:v>ใช้อุปกรณ์ช่วยทำงานระดับพื้น</x:v>
      </x:c>
      <x:c r="E24" s="11" t="str">
        <x:v>Use floor-work aids.</x:v>
      </x:c>
      <x:c r="F24" s="8" t="str">
        <x:v>direct</x:v>
      </x:c>
      <x:c r="G24" s="8" t="str">
        <x:v>pass</x:v>
      </x:c>
      <x:c r="H24" s="8" t="str">
        <x:v>not_applicable</x:v>
      </x:c>
      <x:c r="I24" s="8" t="str">
        <x:v>pass</x:v>
      </x:c>
      <x:c r="J24" s="8" t="str">
        <x:v>pass</x:v>
      </x:c>
      <x:c r="K24" s="8" t="str">
        <x:v>pass</x:v>
      </x:c>
      <x:c r="L24" s="8" t="str">
        <x:v>pass</x:v>
      </x:c>
      <x:c r="M24" s="11" t="str"/>
      <x:c r="N24" s="8" t="str">
        <x:v>approved</x:v>
      </x:c>
      <x:c r="O24" s="8" t="str">
        <x:v>Methee</x:v>
      </x:c>
      <x:c r="P24" s="9" t="str">
        <x:v>⁠2026-07-29T00:00:00+07:00</x:v>
      </x:c>
      <x:c r="Q24" s="10" t="n">
        <x:v>1</x:v>
      </x:c>
      <x:c r="R24" s="8" t="str">
        <x:v>body_map_recommendations</x:v>
      </x:c>
      <x:c r="S24" s="8" t="str">
        <x:v>7</x:v>
      </x:c>
    </x:row>
    <x:row r="25" ht="48" customHeight="1">
      <x:c r="A25" s="8" t="str">
        <x:v>act_body_legs_very_high.04</x:v>
      </x:c>
      <x:c r="B25" s="8" t="str">
        <x:v>act_body_legs_very_high</x:v>
      </x:c>
      <x:c r="C25" s="8" t="str">
        <x:v>recommendation</x:v>
      </x:c>
      <x:c r="D25" s="11" t="str">
        <x:v>ลดเวลาทำงานใกล้พื้น</x:v>
      </x:c>
      <x:c r="E25" s="11" t="str">
        <x:v>Reduce time working near the ground.</x:v>
      </x:c>
      <x:c r="F25" s="8" t="str">
        <x:v>direct</x:v>
      </x:c>
      <x:c r="G25" s="8" t="str">
        <x:v>pass</x:v>
      </x:c>
      <x:c r="H25" s="8" t="str">
        <x:v>not_applicable</x:v>
      </x:c>
      <x:c r="I25" s="8" t="str">
        <x:v>pass</x:v>
      </x:c>
      <x:c r="J25" s="8" t="str">
        <x:v>pass</x:v>
      </x:c>
      <x:c r="K25" s="8" t="str">
        <x:v>pass</x:v>
      </x:c>
      <x:c r="L25" s="8" t="str">
        <x:v>pass</x:v>
      </x:c>
      <x:c r="M25" s="11" t="str"/>
      <x:c r="N25" s="8" t="str">
        <x:v>approved</x:v>
      </x:c>
      <x:c r="O25" s="8" t="str">
        <x:v>Methee</x:v>
      </x:c>
      <x:c r="P25" s="9" t="str">
        <x:v>⁠2026-07-29T00:00:00+07:00</x:v>
      </x:c>
      <x:c r="Q25" s="10" t="n">
        <x:v>1</x:v>
      </x:c>
      <x:c r="R25" s="8" t="str">
        <x:v>body_map_recommendations</x:v>
      </x:c>
      <x:c r="S25" s="8" t="str">
        <x:v>7</x:v>
      </x:c>
    </x:row>
    <x:row r="26" ht="48" customHeight="1">
      <x:c r="A26" s="8" t="str">
        <x:v>act_body_manual_high.01</x:v>
      </x:c>
      <x:c r="B26" s="8" t="str">
        <x:v>act_body_manual_high</x:v>
      </x:c>
      <x:c r="C26" s="8" t="str">
        <x:v>recommendation</x:v>
      </x:c>
      <x:c r="D26" s="11" t="str">
        <x:v>แบ่งน้ำหนักต่อครั้งไม่เกิน 10 กก.</x:v>
      </x:c>
      <x:c r="E26" s="11" t="str">
        <x:v>Limit each load to no more than 10 kg.</x:v>
      </x:c>
      <x:c r="F26" s="8" t="str">
        <x:v>direct</x:v>
      </x:c>
      <x:c r="G26" s="8" t="str">
        <x:v>pass</x:v>
      </x:c>
      <x:c r="H26" s="8" t="str">
        <x:v>pass</x:v>
      </x:c>
      <x:c r="I26" s="8" t="str">
        <x:v>pass</x:v>
      </x:c>
      <x:c r="J26" s="8" t="str">
        <x:v>pass</x:v>
      </x:c>
      <x:c r="K26" s="8" t="str">
        <x:v>pass</x:v>
      </x:c>
      <x:c r="L26" s="8" t="str">
        <x:v>pass</x:v>
      </x:c>
      <x:c r="M26" s="11" t="str"/>
      <x:c r="N26" s="8" t="str">
        <x:v>approved</x:v>
      </x:c>
      <x:c r="O26" s="8" t="str">
        <x:v>Methee</x:v>
      </x:c>
      <x:c r="P26" s="9" t="str">
        <x:v>⁠2026-07-29T00:00:00+07:00</x:v>
      </x:c>
      <x:c r="Q26" s="10" t="n">
        <x:v>1</x:v>
      </x:c>
      <x:c r="R26" s="8" t="str">
        <x:v>body_map_recommendations</x:v>
      </x:c>
      <x:c r="S26" s="8" t="str">
        <x:v>7-8</x:v>
      </x:c>
    </x:row>
    <x:row r="27" ht="48" customHeight="1">
      <x:c r="A27" s="8" t="str">
        <x:v>act_body_manual_high.02</x:v>
      </x:c>
      <x:c r="B27" s="8" t="str">
        <x:v>act_body_manual_high</x:v>
      </x:c>
      <x:c r="C27" s="8" t="str">
        <x:v>recommendation</x:v>
      </x:c>
      <x:c r="D27" s="11" t="str">
        <x:v>ใช้รถเข็นเมื่อขนไกลกว่า 10 เมตร ให้ 2 คนช่วยยกเมื่อหนักเกิน 20 กก.</x:v>
      </x:c>
      <x:c r="E27" s="11" t="str">
        <x:v>Use a cart for distances over 10 m, and use 2-person lifting for loads over 20 kg.</x:v>
      </x:c>
      <x:c r="F27" s="8" t="str">
        <x:v>direct</x:v>
      </x:c>
      <x:c r="G27" s="8" t="str">
        <x:v>pass</x:v>
      </x:c>
      <x:c r="H27" s="8" t="str">
        <x:v>pass</x:v>
      </x:c>
      <x:c r="I27" s="8" t="str">
        <x:v>pass</x:v>
      </x:c>
      <x:c r="J27" s="8" t="str">
        <x:v>pass</x:v>
      </x:c>
      <x:c r="K27" s="8" t="str">
        <x:v>pass</x:v>
      </x:c>
      <x:c r="L27" s="8" t="str">
        <x:v>pass</x:v>
      </x:c>
      <x:c r="M27" s="11" t="str"/>
      <x:c r="N27" s="8" t="str">
        <x:v>approved</x:v>
      </x:c>
      <x:c r="O27" s="8" t="str">
        <x:v>Methee</x:v>
      </x:c>
      <x:c r="P27" s="9" t="str">
        <x:v>⁠2026-07-29T00:00:00+07:00</x:v>
      </x:c>
      <x:c r="Q27" s="10" t="n">
        <x:v>1</x:v>
      </x:c>
      <x:c r="R27" s="8" t="str">
        <x:v>body_map_recommendations</x:v>
      </x:c>
      <x:c r="S27" s="8" t="str">
        <x:v>7-8</x:v>
      </x:c>
    </x:row>
    <x:row r="28" ht="48" customHeight="1">
      <x:c r="A28" s="8" t="str">
        <x:v>act_body_manual_high.03</x:v>
      </x:c>
      <x:c r="B28" s="8" t="str">
        <x:v>act_body_manual_high</x:v>
      </x:c>
      <x:c r="C28" s="8" t="str">
        <x:v>recommendation</x:v>
      </x:c>
      <x:c r="D28" s="11" t="str">
        <x:v>หลีกเลี่ยงการบิดตัวขณะยก</x:v>
      </x:c>
      <x:c r="E28" s="11" t="str">
        <x:v>Avoid twisting while lifting.</x:v>
      </x:c>
      <x:c r="F28" s="8" t="str">
        <x:v>direct</x:v>
      </x:c>
      <x:c r="G28" s="8" t="str">
        <x:v>pass</x:v>
      </x:c>
      <x:c r="H28" s="8" t="str">
        <x:v>not_applicable</x:v>
      </x:c>
      <x:c r="I28" s="8" t="str">
        <x:v>pass</x:v>
      </x:c>
      <x:c r="J28" s="8" t="str">
        <x:v>pass</x:v>
      </x:c>
      <x:c r="K28" s="8" t="str">
        <x:v>pass</x:v>
      </x:c>
      <x:c r="L28" s="8" t="str">
        <x:v>pass</x:v>
      </x:c>
      <x:c r="M28" s="11" t="str"/>
      <x:c r="N28" s="8" t="str">
        <x:v>approved</x:v>
      </x:c>
      <x:c r="O28" s="8" t="str">
        <x:v>Methee</x:v>
      </x:c>
      <x:c r="P28" s="9" t="str">
        <x:v>⁠2026-07-29T00:00:00+07:00</x:v>
      </x:c>
      <x:c r="Q28" s="10" t="n">
        <x:v>1</x:v>
      </x:c>
      <x:c r="R28" s="8" t="str">
        <x:v>body_map_recommendations</x:v>
      </x:c>
      <x:c r="S28" s="8" t="str">
        <x:v>7-8</x:v>
      </x:c>
    </x:row>
    <x:row r="29" ht="48" customHeight="1">
      <x:c r="A29" s="8" t="str">
        <x:v>act_body_manual_medium.01</x:v>
      </x:c>
      <x:c r="B29" s="8" t="str">
        <x:v>act_body_manual_medium</x:v>
      </x:c>
      <x:c r="C29" s="8" t="str">
        <x:v>recommendation</x:v>
      </x:c>
      <x:c r="D29" s="11" t="str">
        <x:v>แบ่งถุงหรือภาชนะให้หนักไม่เกิน 15 กก.</x:v>
      </x:c>
      <x:c r="E29" s="11" t="str">
        <x:v>Divide materials into bags or containers weighing no more than 15 kg each.</x:v>
      </x:c>
      <x:c r="F29" s="8" t="str">
        <x:v>direct</x:v>
      </x:c>
      <x:c r="G29" s="8" t="str">
        <x:v>pass</x:v>
      </x:c>
      <x:c r="H29" s="8" t="str">
        <x:v>pass</x:v>
      </x:c>
      <x:c r="I29" s="8" t="str">
        <x:v>pass</x:v>
      </x:c>
      <x:c r="J29" s="8" t="str">
        <x:v>pass</x:v>
      </x:c>
      <x:c r="K29" s="8" t="str">
        <x:v>pass</x:v>
      </x:c>
      <x:c r="L29" s="8" t="str">
        <x:v>pass</x:v>
      </x:c>
      <x:c r="M29" s="11" t="str"/>
      <x:c r="N29" s="8" t="str">
        <x:v>approved</x:v>
      </x:c>
      <x:c r="O29" s="8" t="str">
        <x:v>Methee</x:v>
      </x:c>
      <x:c r="P29" s="9" t="str">
        <x:v>⁠2026-07-29T00:00:00+07:00</x:v>
      </x:c>
      <x:c r="Q29" s="10" t="n">
        <x:v>1</x:v>
      </x:c>
      <x:c r="R29" s="8" t="str">
        <x:v>body_map_recommendations</x:v>
      </x:c>
      <x:c r="S29" s="8" t="str">
        <x:v>7</x:v>
      </x:c>
    </x:row>
    <x:row r="30" ht="48" customHeight="1">
      <x:c r="A30" s="8" t="str">
        <x:v>act_body_manual_medium.02</x:v>
      </x:c>
      <x:c r="B30" s="8" t="str">
        <x:v>act_body_manual_medium</x:v>
      </x:c>
      <x:c r="C30" s="8" t="str">
        <x:v>recommendation</x:v>
      </x:c>
      <x:c r="D30" s="11" t="str">
        <x:v>ถือของให้ชิดลำตัว</x:v>
      </x:c>
      <x:c r="E30" s="11" t="str">
        <x:v>Keep the load close to the body.</x:v>
      </x:c>
      <x:c r="F30" s="8" t="str">
        <x:v>direct</x:v>
      </x:c>
      <x:c r="G30" s="8" t="str">
        <x:v>pass</x:v>
      </x:c>
      <x:c r="H30" s="8" t="str">
        <x:v>not_applicable</x:v>
      </x:c>
      <x:c r="I30" s="8" t="str">
        <x:v>pass</x:v>
      </x:c>
      <x:c r="J30" s="8" t="str">
        <x:v>pass</x:v>
      </x:c>
      <x:c r="K30" s="8" t="str">
        <x:v>pass</x:v>
      </x:c>
      <x:c r="L30" s="8" t="str">
        <x:v>pass</x:v>
      </x:c>
      <x:c r="M30" s="11" t="str"/>
      <x:c r="N30" s="8" t="str">
        <x:v>approved</x:v>
      </x:c>
      <x:c r="O30" s="8" t="str">
        <x:v>Methee</x:v>
      </x:c>
      <x:c r="P30" s="9" t="str">
        <x:v>⁠2026-07-29T00:00:00+07:00</x:v>
      </x:c>
      <x:c r="Q30" s="10" t="n">
        <x:v>1</x:v>
      </x:c>
      <x:c r="R30" s="8" t="str">
        <x:v>body_map_recommendations</x:v>
      </x:c>
      <x:c r="S30" s="8" t="str">
        <x:v>7</x:v>
      </x:c>
    </x:row>
    <x:row r="31" ht="48" customHeight="1">
      <x:c r="A31" s="8" t="str">
        <x:v>act_body_manual_medium.03</x:v>
      </x:c>
      <x:c r="B31" s="8" t="str">
        <x:v>act_body_manual_medium</x:v>
      </x:c>
      <x:c r="C31" s="8" t="str">
        <x:v>recommendation</x:v>
      </x:c>
      <x:c r="D31" s="11" t="str">
        <x:v>ใช้สองมือช่วยยก</x:v>
      </x:c>
      <x:c r="E31" s="11" t="str">
        <x:v>Lift with both hands.</x:v>
      </x:c>
      <x:c r="F31" s="8" t="str">
        <x:v>direct</x:v>
      </x:c>
      <x:c r="G31" s="8" t="str">
        <x:v>pass</x:v>
      </x:c>
      <x:c r="H31" s="8" t="str">
        <x:v>not_applicable</x:v>
      </x:c>
      <x:c r="I31" s="8" t="str">
        <x:v>pass</x:v>
      </x:c>
      <x:c r="J31" s="8" t="str">
        <x:v>pass</x:v>
      </x:c>
      <x:c r="K31" s="8" t="str">
        <x:v>pass</x:v>
      </x:c>
      <x:c r="L31" s="8" t="str">
        <x:v>pass</x:v>
      </x:c>
      <x:c r="M31" s="11" t="str"/>
      <x:c r="N31" s="8" t="str">
        <x:v>approved</x:v>
      </x:c>
      <x:c r="O31" s="8" t="str">
        <x:v>Methee</x:v>
      </x:c>
      <x:c r="P31" s="9" t="str">
        <x:v>⁠2026-07-29T00:00:00+07:00</x:v>
      </x:c>
      <x:c r="Q31" s="10" t="n">
        <x:v>1</x:v>
      </x:c>
      <x:c r="R31" s="8" t="str">
        <x:v>body_map_recommendations</x:v>
      </x:c>
      <x:c r="S31" s="8" t="str">
        <x:v>7</x:v>
      </x:c>
    </x:row>
    <x:row r="32" ht="48" customHeight="1">
      <x:c r="A32" s="8" t="str">
        <x:v>act_body_manual_medium.04</x:v>
      </x:c>
      <x:c r="B32" s="8" t="str">
        <x:v>act_body_manual_medium</x:v>
      </x:c>
      <x:c r="C32" s="8" t="str">
        <x:v>recommendation</x:v>
      </x:c>
      <x:c r="D32" s="11" t="str">
        <x:v>หลีกเลี่ยงการยกเหนือระดับไหล่</x:v>
      </x:c>
      <x:c r="E32" s="11" t="str">
        <x:v>Avoid lifting above shoulder height.</x:v>
      </x:c>
      <x:c r="F32" s="8" t="str">
        <x:v>direct</x:v>
      </x:c>
      <x:c r="G32" s="8" t="str">
        <x:v>pass</x:v>
      </x:c>
      <x:c r="H32" s="8" t="str">
        <x:v>not_applicable</x:v>
      </x:c>
      <x:c r="I32" s="8" t="str">
        <x:v>pass</x:v>
      </x:c>
      <x:c r="J32" s="8" t="str">
        <x:v>pass</x:v>
      </x:c>
      <x:c r="K32" s="8" t="str">
        <x:v>pass</x:v>
      </x:c>
      <x:c r="L32" s="8" t="str">
        <x:v>pass</x:v>
      </x:c>
      <x:c r="M32" s="11" t="str"/>
      <x:c r="N32" s="8" t="str">
        <x:v>approved</x:v>
      </x:c>
      <x:c r="O32" s="8" t="str">
        <x:v>Methee</x:v>
      </x:c>
      <x:c r="P32" s="9" t="str">
        <x:v>⁠2026-07-29T00:00:00+07:00</x:v>
      </x:c>
      <x:c r="Q32" s="10" t="n">
        <x:v>1</x:v>
      </x:c>
      <x:c r="R32" s="8" t="str">
        <x:v>body_map_recommendations</x:v>
      </x:c>
      <x:c r="S32" s="8" t="str">
        <x:v>7</x:v>
      </x:c>
    </x:row>
    <x:row r="33" ht="48" customHeight="1">
      <x:c r="A33" s="8" t="str">
        <x:v>act_body_manual_very_high.01</x:v>
      </x:c>
      <x:c r="B33" s="8" t="str">
        <x:v>act_body_manual_very_high</x:v>
      </x:c>
      <x:c r="C33" s="8" t="str">
        <x:v>recommendation</x:v>
      </x:c>
      <x:c r="D33" s="11" t="str">
        <x:v>ใช้รถเข็น รถลาก หรืออุปกรณ์ช่วยยก</x:v>
      </x:c>
      <x:c r="E33" s="11" t="str">
        <x:v>Use a cart, trolley, or lifting aid.</x:v>
      </x:c>
      <x:c r="F33" s="8" t="str">
        <x:v>direct</x:v>
      </x:c>
      <x:c r="G33" s="8" t="str">
        <x:v>pass</x:v>
      </x:c>
      <x:c r="H33" s="8" t="str">
        <x:v>not_applicable</x:v>
      </x:c>
      <x:c r="I33" s="8" t="str">
        <x:v>pass</x:v>
      </x:c>
      <x:c r="J33" s="8" t="str">
        <x:v>pass</x:v>
      </x:c>
      <x:c r="K33" s="8" t="str">
        <x:v>pass</x:v>
      </x:c>
      <x:c r="L33" s="8" t="str">
        <x:v>pass</x:v>
      </x:c>
      <x:c r="M33" s="11" t="str"/>
      <x:c r="N33" s="8" t="str">
        <x:v>approved</x:v>
      </x:c>
      <x:c r="O33" s="8" t="str">
        <x:v>Methee</x:v>
      </x:c>
      <x:c r="P33" s="9" t="str">
        <x:v>⁠2026-07-29T00:00:00+07:00</x:v>
      </x:c>
      <x:c r="Q33" s="10" t="n">
        <x:v>1</x:v>
      </x:c>
      <x:c r="R33" s="8" t="str">
        <x:v>body_map_recommendations</x:v>
      </x:c>
      <x:c r="S33" s="8" t="str">
        <x:v>8</x:v>
      </x:c>
    </x:row>
    <x:row r="34" ht="48" customHeight="1">
      <x:c r="A34" s="8" t="str">
        <x:v>act_body_manual_very_high.02</x:v>
      </x:c>
      <x:c r="B34" s="8" t="str">
        <x:v>act_body_manual_very_high</x:v>
      </x:c>
      <x:c r="C34" s="8" t="str">
        <x:v>recommendation</x:v>
      </x:c>
      <x:c r="D34" s="11" t="str">
        <x:v>หลีกเลี่ยงการยกเกิน 20 กก. คนเดียว</x:v>
      </x:c>
      <x:c r="E34" s="11" t="str">
        <x:v>Avoid lifting more than 20 kg alone.</x:v>
      </x:c>
      <x:c r="F34" s="8" t="str">
        <x:v>direct</x:v>
      </x:c>
      <x:c r="G34" s="8" t="str">
        <x:v>pass</x:v>
      </x:c>
      <x:c r="H34" s="8" t="str">
        <x:v>pass</x:v>
      </x:c>
      <x:c r="I34" s="8" t="str">
        <x:v>pass</x:v>
      </x:c>
      <x:c r="J34" s="8" t="str">
        <x:v>pass</x:v>
      </x:c>
      <x:c r="K34" s="8" t="str">
        <x:v>pass</x:v>
      </x:c>
      <x:c r="L34" s="8" t="str">
        <x:v>pass</x:v>
      </x:c>
      <x:c r="M34" s="11" t="str"/>
      <x:c r="N34" s="8" t="str">
        <x:v>approved</x:v>
      </x:c>
      <x:c r="O34" s="8" t="str">
        <x:v>Methee</x:v>
      </x:c>
      <x:c r="P34" s="9" t="str">
        <x:v>⁠2026-07-29T00:00:00+07:00</x:v>
      </x:c>
      <x:c r="Q34" s="10" t="n">
        <x:v>1</x:v>
      </x:c>
      <x:c r="R34" s="8" t="str">
        <x:v>body_map_recommendations</x:v>
      </x:c>
      <x:c r="S34" s="8" t="str">
        <x:v>8</x:v>
      </x:c>
    </x:row>
    <x:row r="35" ht="48" customHeight="1">
      <x:c r="A35" s="8" t="str">
        <x:v>act_body_manual_very_high.03</x:v>
      </x:c>
      <x:c r="B35" s="8" t="str">
        <x:v>act_body_manual_very_high</x:v>
      </x:c>
      <x:c r="C35" s="8" t="str">
        <x:v>recommendation</x:v>
      </x:c>
      <x:c r="D35" s="11" t="str">
        <x:v>ถ้าหนัก 20-25 กก. ให้ช่วยกันยก</x:v>
      </x:c>
      <x:c r="E35" s="11" t="str">
        <x:v>Use at least two people to lift loads of 20-25 kg.</x:v>
      </x:c>
      <x:c r="F35" s="8" t="str">
        <x:v>direct</x:v>
      </x:c>
      <x:c r="G35" s="8" t="str">
        <x:v>pass</x:v>
      </x:c>
      <x:c r="H35" s="8" t="str">
        <x:v>pass</x:v>
      </x:c>
      <x:c r="I35" s="8" t="str">
        <x:v>pass</x:v>
      </x:c>
      <x:c r="J35" s="8" t="str">
        <x:v>pass</x:v>
      </x:c>
      <x:c r="K35" s="8" t="str">
        <x:v>pass</x:v>
      </x:c>
      <x:c r="L35" s="8" t="str">
        <x:v>pass</x:v>
      </x:c>
      <x:c r="M35" s="11" t="str"/>
      <x:c r="N35" s="8" t="str">
        <x:v>approved</x:v>
      </x:c>
      <x:c r="O35" s="8" t="str">
        <x:v>Methee</x:v>
      </x:c>
      <x:c r="P35" s="9" t="str">
        <x:v>⁠2026-07-29T00:00:00+07:00</x:v>
      </x:c>
      <x:c r="Q35" s="10" t="n">
        <x:v>1</x:v>
      </x:c>
      <x:c r="R35" s="8" t="str">
        <x:v>body_map_recommendations</x:v>
      </x:c>
      <x:c r="S35" s="8" t="str">
        <x:v>8</x:v>
      </x:c>
    </x:row>
    <x:row r="36" ht="48" customHeight="1">
      <x:c r="A36" s="8" t="str">
        <x:v>act_body_manual_very_high.04</x:v>
      </x:c>
      <x:c r="B36" s="8" t="str">
        <x:v>act_body_manual_very_high</x:v>
      </x:c>
      <x:c r="C36" s="8" t="str">
        <x:v>recommendation</x:v>
      </x:c>
      <x:c r="D36" s="11" t="str">
        <x:v>ถ้าเกิน 25 กก. ให้ใช้อุปกรณ์ช่วย</x:v>
      </x:c>
      <x:c r="E36" s="11" t="str">
        <x:v>Use lifting equipment for loads over 25 kg.</x:v>
      </x:c>
      <x:c r="F36" s="8" t="str">
        <x:v>direct</x:v>
      </x:c>
      <x:c r="G36" s="8" t="str">
        <x:v>pass</x:v>
      </x:c>
      <x:c r="H36" s="8" t="str">
        <x:v>pass</x:v>
      </x:c>
      <x:c r="I36" s="8" t="str">
        <x:v>pass</x:v>
      </x:c>
      <x:c r="J36" s="8" t="str">
        <x:v>pass</x:v>
      </x:c>
      <x:c r="K36" s="8" t="str">
        <x:v>pass</x:v>
      </x:c>
      <x:c r="L36" s="8" t="str">
        <x:v>pass</x:v>
      </x:c>
      <x:c r="M36" s="11" t="str"/>
      <x:c r="N36" s="8" t="str">
        <x:v>approved</x:v>
      </x:c>
      <x:c r="O36" s="8" t="str">
        <x:v>Methee</x:v>
      </x:c>
      <x:c r="P36" s="9" t="str">
        <x:v>⁠2026-07-29T00:00:00+07:00</x:v>
      </x:c>
      <x:c r="Q36" s="10" t="n">
        <x:v>1</x:v>
      </x:c>
      <x:c r="R36" s="8" t="str">
        <x:v>body_map_recommendations</x:v>
      </x:c>
      <x:c r="S36" s="8" t="str">
        <x:v>8</x:v>
      </x:c>
    </x:row>
    <x:row r="37" ht="48" customHeight="1">
      <x:c r="A37" s="8" t="str">
        <x:v>act_body_neck_high.01</x:v>
      </x:c>
      <x:c r="B37" s="8" t="str">
        <x:v>act_body_neck_high</x:v>
      </x:c>
      <x:c r="C37" s="8" t="str">
        <x:v>recommendation</x:v>
      </x:c>
      <x:c r="D37" s="11" t="str">
        <x:v>ปรับพื้นที่ทำงานให้สูงขึ้น ยืดเหยียดคอทุก 15-20 นาที</x:v>
      </x:c>
      <x:c r="E37" s="11" t="str">
        <x:v>Raise the work area and stretch the neck every 15-20 minutes.</x:v>
      </x:c>
      <x:c r="F37" s="8" t="str">
        <x:v>direct</x:v>
      </x:c>
      <x:c r="G37" s="8" t="str">
        <x:v>pass</x:v>
      </x:c>
      <x:c r="H37" s="8" t="str">
        <x:v>pass</x:v>
      </x:c>
      <x:c r="I37" s="8" t="str">
        <x:v>pass</x:v>
      </x:c>
      <x:c r="J37" s="8" t="str">
        <x:v>pass</x:v>
      </x:c>
      <x:c r="K37" s="8" t="str">
        <x:v>pass</x:v>
      </x:c>
      <x:c r="L37" s="8" t="str">
        <x:v>pass</x:v>
      </x:c>
      <x:c r="M37" s="11" t="str"/>
      <x:c r="N37" s="8" t="str">
        <x:v>approved</x:v>
      </x:c>
      <x:c r="O37" s="8" t="str">
        <x:v>Methee</x:v>
      </x:c>
      <x:c r="P37" s="9" t="str">
        <x:v>⁠2026-07-29T00:00:00+07:00</x:v>
      </x:c>
      <x:c r="Q37" s="10" t="n">
        <x:v>1</x:v>
      </x:c>
      <x:c r="R37" s="8" t="str">
        <x:v>body_map_recommendations</x:v>
      </x:c>
      <x:c r="S37" s="8" t="str">
        <x:v>2</x:v>
      </x:c>
    </x:row>
    <x:row r="38" ht="48" customHeight="1">
      <x:c r="A38" s="8" t="str">
        <x:v>act_body_neck_high.02</x:v>
      </x:c>
      <x:c r="B38" s="8" t="str">
        <x:v>act_body_neck_high</x:v>
      </x:c>
      <x:c r="C38" s="8" t="str">
        <x:v>recommendation</x:v>
      </x:c>
      <x:c r="D38" s="11" t="str">
        <x:v>ใช้อุปกรณ์ช่วยหยิบจับ</x:v>
      </x:c>
      <x:c r="E38" s="11" t="str">
        <x:v>Use a reaching aid.</x:v>
      </x:c>
      <x:c r="F38" s="8" t="str">
        <x:v>direct</x:v>
      </x:c>
      <x:c r="G38" s="8" t="str">
        <x:v>pass</x:v>
      </x:c>
      <x:c r="H38" s="8" t="str">
        <x:v>not_applicable</x:v>
      </x:c>
      <x:c r="I38" s="8" t="str">
        <x:v>pass</x:v>
      </x:c>
      <x:c r="J38" s="8" t="str">
        <x:v>pass</x:v>
      </x:c>
      <x:c r="K38" s="8" t="str">
        <x:v>pass</x:v>
      </x:c>
      <x:c r="L38" s="8" t="str">
        <x:v>pass</x:v>
      </x:c>
      <x:c r="M38" s="11" t="str"/>
      <x:c r="N38" s="8" t="str">
        <x:v>approved</x:v>
      </x:c>
      <x:c r="O38" s="8" t="str">
        <x:v>Methee</x:v>
      </x:c>
      <x:c r="P38" s="9" t="str">
        <x:v>⁠2026-07-29T00:00:00+07:00</x:v>
      </x:c>
      <x:c r="Q38" s="10" t="n">
        <x:v>1</x:v>
      </x:c>
      <x:c r="R38" s="8" t="str">
        <x:v>body_map_recommendations</x:v>
      </x:c>
      <x:c r="S38" s="8" t="str">
        <x:v>2</x:v>
      </x:c>
    </x:row>
    <x:row r="39" ht="48" customHeight="1">
      <x:c r="A39" s="8" t="str">
        <x:v>act_body_neck_high.03</x:v>
      </x:c>
      <x:c r="B39" s="8" t="str">
        <x:v>act_body_neck_high</x:v>
      </x:c>
      <x:c r="C39" s="8" t="str">
        <x:v>recommendation</x:v>
      </x:c>
      <x:c r="D39" s="11" t="str">
        <x:v>หลีกเลี่ยงการบิดหรือเอียงคอ</x:v>
      </x:c>
      <x:c r="E39" s="11" t="str">
        <x:v>Avoid twisting or tilting the neck.</x:v>
      </x:c>
      <x:c r="F39" s="8" t="str">
        <x:v>direct</x:v>
      </x:c>
      <x:c r="G39" s="8" t="str">
        <x:v>pass</x:v>
      </x:c>
      <x:c r="H39" s="8" t="str">
        <x:v>not_applicable</x:v>
      </x:c>
      <x:c r="I39" s="8" t="str">
        <x:v>pass</x:v>
      </x:c>
      <x:c r="J39" s="8" t="str">
        <x:v>pass</x:v>
      </x:c>
      <x:c r="K39" s="8" t="str">
        <x:v>pass</x:v>
      </x:c>
      <x:c r="L39" s="8" t="str">
        <x:v>pass</x:v>
      </x:c>
      <x:c r="M39" s="11" t="str"/>
      <x:c r="N39" s="8" t="str">
        <x:v>approved</x:v>
      </x:c>
      <x:c r="O39" s="8" t="str">
        <x:v>Methee</x:v>
      </x:c>
      <x:c r="P39" s="9" t="str">
        <x:v>⁠2026-07-29T00:00:00+07:00</x:v>
      </x:c>
      <x:c r="Q39" s="10" t="n">
        <x:v>1</x:v>
      </x:c>
      <x:c r="R39" s="8" t="str">
        <x:v>body_map_recommendations</x:v>
      </x:c>
      <x:c r="S39" s="8" t="str">
        <x:v>2</x:v>
      </x:c>
    </x:row>
    <x:row r="40" ht="48" customHeight="1">
      <x:c r="A40" s="8" t="str">
        <x:v>act_body_neck_medium.01</x:v>
      </x:c>
      <x:c r="B40" s="8" t="str">
        <x:v>act_body_neck_medium</x:v>
      </x:c>
      <x:c r="C40" s="8" t="str">
        <x:v>recommendation</x:v>
      </x:c>
      <x:c r="D40" s="11" t="str">
        <x:v>ยกถาดหรือวัสดุให้อยู่ระดับเอว</x:v>
      </x:c>
      <x:c r="E40" s="11" t="str">
        <x:v>Raise trays or materials to waist height.</x:v>
      </x:c>
      <x:c r="F40" s="8" t="str">
        <x:v>direct</x:v>
      </x:c>
      <x:c r="G40" s="8" t="str">
        <x:v>pass</x:v>
      </x:c>
      <x:c r="H40" s="8" t="str">
        <x:v>not_applicable</x:v>
      </x:c>
      <x:c r="I40" s="8" t="str">
        <x:v>pass</x:v>
      </x:c>
      <x:c r="J40" s="8" t="str">
        <x:v>pass</x:v>
      </x:c>
      <x:c r="K40" s="8" t="str">
        <x:v>pass</x:v>
      </x:c>
      <x:c r="L40" s="8" t="str">
        <x:v>pass</x:v>
      </x:c>
      <x:c r="M40" s="11" t="str"/>
      <x:c r="N40" s="8" t="str">
        <x:v>approved</x:v>
      </x:c>
      <x:c r="O40" s="8" t="str">
        <x:v>Methee</x:v>
      </x:c>
      <x:c r="P40" s="9" t="str">
        <x:v>⁠2026-07-29T00:00:00+07:00</x:v>
      </x:c>
      <x:c r="Q40" s="10" t="n">
        <x:v>1</x:v>
      </x:c>
      <x:c r="R40" s="8" t="str">
        <x:v>body_map_recommendations</x:v>
      </x:c>
      <x:c r="S40" s="8" t="str">
        <x:v>1</x:v>
      </x:c>
    </x:row>
    <x:row r="41" ht="48" customHeight="1">
      <x:c r="A41" s="8" t="str">
        <x:v>act_body_neck_medium.02</x:v>
      </x:c>
      <x:c r="B41" s="8" t="str">
        <x:v>act_body_neck_medium</x:v>
      </x:c>
      <x:c r="C41" s="8" t="str">
        <x:v>recommendation</x:v>
      </x:c>
      <x:c r="D41" s="11" t="str">
        <x:v>เปลี่ยนท่าคอทุก 30 นาที</x:v>
      </x:c>
      <x:c r="E41" s="11" t="str">
        <x:v>Change neck posture every 30 minutes.</x:v>
      </x:c>
      <x:c r="F41" s="8" t="str">
        <x:v>direct</x:v>
      </x:c>
      <x:c r="G41" s="8" t="str">
        <x:v>pass</x:v>
      </x:c>
      <x:c r="H41" s="8" t="str">
        <x:v>pass</x:v>
      </x:c>
      <x:c r="I41" s="8" t="str">
        <x:v>pass</x:v>
      </x:c>
      <x:c r="J41" s="8" t="str">
        <x:v>pass</x:v>
      </x:c>
      <x:c r="K41" s="8" t="str">
        <x:v>pass</x:v>
      </x:c>
      <x:c r="L41" s="8" t="str">
        <x:v>pass</x:v>
      </x:c>
      <x:c r="M41" s="11" t="str"/>
      <x:c r="N41" s="8" t="str">
        <x:v>approved</x:v>
      </x:c>
      <x:c r="O41" s="8" t="str">
        <x:v>Methee</x:v>
      </x:c>
      <x:c r="P41" s="9" t="str">
        <x:v>⁠2026-07-29T00:00:00+07:00</x:v>
      </x:c>
      <x:c r="Q41" s="10" t="n">
        <x:v>1</x:v>
      </x:c>
      <x:c r="R41" s="8" t="str">
        <x:v>body_map_recommendations</x:v>
      </x:c>
      <x:c r="S41" s="8" t="str">
        <x:v>1</x:v>
      </x:c>
    </x:row>
    <x:row r="42" ht="48" customHeight="1">
      <x:c r="A42" s="8" t="str">
        <x:v>act_body_neck_medium.03</x:v>
      </x:c>
      <x:c r="B42" s="8" t="str">
        <x:v>act_body_neck_medium</x:v>
      </x:c>
      <x:c r="C42" s="8" t="str">
        <x:v>recommendation</x:v>
      </x:c>
      <x:c r="D42" s="11" t="str">
        <x:v>หลีกเลี่ยงการก้มมองพื้นต่อเนื่อง</x:v>
      </x:c>
      <x:c r="E42" s="11" t="str">
        <x:v>Avoid looking down continuously.</x:v>
      </x:c>
      <x:c r="F42" s="8" t="str">
        <x:v>direct</x:v>
      </x:c>
      <x:c r="G42" s="8" t="str">
        <x:v>pass</x:v>
      </x:c>
      <x:c r="H42" s="8" t="str">
        <x:v>not_applicable</x:v>
      </x:c>
      <x:c r="I42" s="8" t="str">
        <x:v>pass</x:v>
      </x:c>
      <x:c r="J42" s="8" t="str">
        <x:v>pass</x:v>
      </x:c>
      <x:c r="K42" s="8" t="str">
        <x:v>pass</x:v>
      </x:c>
      <x:c r="L42" s="8" t="str">
        <x:v>pass</x:v>
      </x:c>
      <x:c r="M42" s="11" t="str"/>
      <x:c r="N42" s="8" t="str">
        <x:v>approved</x:v>
      </x:c>
      <x:c r="O42" s="8" t="str">
        <x:v>Methee</x:v>
      </x:c>
      <x:c r="P42" s="9" t="str">
        <x:v>⁠2026-07-29T00:00:00+07:00</x:v>
      </x:c>
      <x:c r="Q42" s="10" t="n">
        <x:v>1</x:v>
      </x:c>
      <x:c r="R42" s="8" t="str">
        <x:v>body_map_recommendations</x:v>
      </x:c>
      <x:c r="S42" s="8" t="str">
        <x:v>1</x:v>
      </x:c>
    </x:row>
    <x:row r="43" ht="48" customHeight="1">
      <x:c r="A43" s="8" t="str">
        <x:v>act_body_neck_very_high.01</x:v>
      </x:c>
      <x:c r="B43" s="8" t="str">
        <x:v>act_body_neck_very_high</x:v>
      </x:c>
      <x:c r="C43" s="8" t="str">
        <x:v>recommendation</x:v>
      </x:c>
      <x:c r="D43" s="11" t="str">
        <x:v>ปรับวิธีทำงานทันที</x:v>
      </x:c>
      <x:c r="E43" s="11" t="str">
        <x:v>Change the work method immediately.</x:v>
      </x:c>
      <x:c r="F43" s="8" t="str">
        <x:v>direct</x:v>
      </x:c>
      <x:c r="G43" s="8" t="str">
        <x:v>pass</x:v>
      </x:c>
      <x:c r="H43" s="8" t="str">
        <x:v>not_applicable</x:v>
      </x:c>
      <x:c r="I43" s="8" t="str">
        <x:v>pass</x:v>
      </x:c>
      <x:c r="J43" s="8" t="str">
        <x:v>pass</x:v>
      </x:c>
      <x:c r="K43" s="8" t="str">
        <x:v>pass</x:v>
      </x:c>
      <x:c r="L43" s="8" t="str">
        <x:v>pass</x:v>
      </x:c>
      <x:c r="M43" s="11" t="str"/>
      <x:c r="N43" s="8" t="str">
        <x:v>approved</x:v>
      </x:c>
      <x:c r="O43" s="8" t="str">
        <x:v>Methee</x:v>
      </x:c>
      <x:c r="P43" s="9" t="str">
        <x:v>⁠2026-07-29T00:00:00+07:00</x:v>
      </x:c>
      <x:c r="Q43" s="10" t="n">
        <x:v>1</x:v>
      </x:c>
      <x:c r="R43" s="8" t="str">
        <x:v>body_map_recommendations</x:v>
      </x:c>
      <x:c r="S43" s="8" t="str">
        <x:v>2</x:v>
      </x:c>
    </x:row>
    <x:row r="44" ht="48" customHeight="1">
      <x:c r="A44" s="8" t="str">
        <x:v>act_body_neck_very_high.02</x:v>
      </x:c>
      <x:c r="B44" s="8" t="str">
        <x:v>act_body_neck_very_high</x:v>
      </x:c>
      <x:c r="C44" s="8" t="str">
        <x:v>recommendation</x:v>
      </x:c>
      <x:c r="D44" s="11" t="str">
        <x:v>ยกวัสดุขึ้นระดับเอว</x:v>
      </x:c>
      <x:c r="E44" s="11" t="str">
        <x:v>Raise materials to waist height.</x:v>
      </x:c>
      <x:c r="F44" s="8" t="str">
        <x:v>direct</x:v>
      </x:c>
      <x:c r="G44" s="8" t="str">
        <x:v>pass</x:v>
      </x:c>
      <x:c r="H44" s="8" t="str">
        <x:v>not_applicable</x:v>
      </x:c>
      <x:c r="I44" s="8" t="str">
        <x:v>pass</x:v>
      </x:c>
      <x:c r="J44" s="8" t="str">
        <x:v>pass</x:v>
      </x:c>
      <x:c r="K44" s="8" t="str">
        <x:v>pass</x:v>
      </x:c>
      <x:c r="L44" s="8" t="str">
        <x:v>pass</x:v>
      </x:c>
      <x:c r="M44" s="11" t="str"/>
      <x:c r="N44" s="8" t="str">
        <x:v>approved</x:v>
      </x:c>
      <x:c r="O44" s="8" t="str">
        <x:v>Methee</x:v>
      </x:c>
      <x:c r="P44" s="9" t="str">
        <x:v>⁠2026-07-29T00:00:00+07:00</x:v>
      </x:c>
      <x:c r="Q44" s="10" t="n">
        <x:v>1</x:v>
      </x:c>
      <x:c r="R44" s="8" t="str">
        <x:v>body_map_recommendations</x:v>
      </x:c>
      <x:c r="S44" s="8" t="str">
        <x:v>2</x:v>
      </x:c>
    </x:row>
    <x:row r="45" ht="48" customHeight="1">
      <x:c r="A45" s="8" t="str">
        <x:v>act_body_neck_very_high.03</x:v>
      </x:c>
      <x:c r="B45" s="8" t="str">
        <x:v>act_body_neck_very_high</x:v>
      </x:c>
      <x:c r="C45" s="8" t="str">
        <x:v>recommendation</x:v>
      </x:c>
      <x:c r="D45" s="11" t="str">
        <x:v>ใช้เครื่องมือด้ามยาว</x:v>
      </x:c>
      <x:c r="E45" s="11" t="str">
        <x:v>Use long-handled tools.</x:v>
      </x:c>
      <x:c r="F45" s="8" t="str">
        <x:v>direct</x:v>
      </x:c>
      <x:c r="G45" s="8" t="str">
        <x:v>pass</x:v>
      </x:c>
      <x:c r="H45" s="8" t="str">
        <x:v>not_applicable</x:v>
      </x:c>
      <x:c r="I45" s="8" t="str">
        <x:v>pass</x:v>
      </x:c>
      <x:c r="J45" s="8" t="str">
        <x:v>pass</x:v>
      </x:c>
      <x:c r="K45" s="8" t="str">
        <x:v>pass</x:v>
      </x:c>
      <x:c r="L45" s="8" t="str">
        <x:v>pass</x:v>
      </x:c>
      <x:c r="M45" s="11" t="str"/>
      <x:c r="N45" s="8" t="str">
        <x:v>approved</x:v>
      </x:c>
      <x:c r="O45" s="8" t="str">
        <x:v>Methee</x:v>
      </x:c>
      <x:c r="P45" s="9" t="str">
        <x:v>⁠2026-07-29T00:00:00+07:00</x:v>
      </x:c>
      <x:c r="Q45" s="10" t="n">
        <x:v>1</x:v>
      </x:c>
      <x:c r="R45" s="8" t="str">
        <x:v>body_map_recommendations</x:v>
      </x:c>
      <x:c r="S45" s="8" t="str">
        <x:v>2</x:v>
      </x:c>
    </x:row>
    <x:row r="46" ht="48" customHeight="1">
      <x:c r="A46" s="8" t="str">
        <x:v>act_body_neck_very_high.04</x:v>
      </x:c>
      <x:c r="B46" s="8" t="str">
        <x:v>act_body_neck_very_high</x:v>
      </x:c>
      <x:c r="C46" s="8" t="str">
        <x:v>recommendation</x:v>
      </x:c>
      <x:c r="D46" s="11" t="str">
        <x:v>เปลี่ยนอิริยาบถทุก 10-15 นาที</x:v>
      </x:c>
      <x:c r="E46" s="11" t="str">
        <x:v>Change posture every 10-15 minutes.</x:v>
      </x:c>
      <x:c r="F46" s="8" t="str">
        <x:v>direct</x:v>
      </x:c>
      <x:c r="G46" s="8" t="str">
        <x:v>pass</x:v>
      </x:c>
      <x:c r="H46" s="8" t="str">
        <x:v>pass</x:v>
      </x:c>
      <x:c r="I46" s="8" t="str">
        <x:v>pass</x:v>
      </x:c>
      <x:c r="J46" s="8" t="str">
        <x:v>pass</x:v>
      </x:c>
      <x:c r="K46" s="8" t="str">
        <x:v>pass</x:v>
      </x:c>
      <x:c r="L46" s="8" t="str">
        <x:v>pass</x:v>
      </x:c>
      <x:c r="M46" s="11" t="str"/>
      <x:c r="N46" s="8" t="str">
        <x:v>approved</x:v>
      </x:c>
      <x:c r="O46" s="8" t="str">
        <x:v>Methee</x:v>
      </x:c>
      <x:c r="P46" s="9" t="str">
        <x:v>⁠2026-07-29T00:00:00+07:00</x:v>
      </x:c>
      <x:c r="Q46" s="10" t="n">
        <x:v>1</x:v>
      </x:c>
      <x:c r="R46" s="8" t="str">
        <x:v>body_map_recommendations</x:v>
      </x:c>
      <x:c r="S46" s="8" t="str">
        <x:v>2</x:v>
      </x:c>
    </x:row>
    <x:row r="47" ht="48" customHeight="1">
      <x:c r="A47" s="8" t="str">
        <x:v>act_body_trunk_high.01</x:v>
      </x:c>
      <x:c r="B47" s="8" t="str">
        <x:v>act_body_trunk_high</x:v>
      </x:c>
      <x:c r="C47" s="8" t="str">
        <x:v>recommendation</x:v>
      </x:c>
      <x:c r="D47" s="11" t="str">
        <x:v>หลีกเลี่ยงการก้มต่อเนื่องเกิน 10-15 นาที ยืดเหยียดทุก 15 นาที</x:v>
      </x:c>
      <x:c r="E47" s="11" t="str">
        <x:v>Avoid continuous bending for more than 10-15 minutes and stretch every 15 minutes.</x:v>
      </x:c>
      <x:c r="F47" s="8" t="str">
        <x:v>direct</x:v>
      </x:c>
      <x:c r="G47" s="8" t="str">
        <x:v>pass</x:v>
      </x:c>
      <x:c r="H47" s="8" t="str">
        <x:v>pass</x:v>
      </x:c>
      <x:c r="I47" s="8" t="str">
        <x:v>pass</x:v>
      </x:c>
      <x:c r="J47" s="8" t="str">
        <x:v>pass</x:v>
      </x:c>
      <x:c r="K47" s="8" t="str">
        <x:v>pass</x:v>
      </x:c>
      <x:c r="L47" s="8" t="str">
        <x:v>pass</x:v>
      </x:c>
      <x:c r="M47" s="11" t="str"/>
      <x:c r="N47" s="8" t="str">
        <x:v>approved</x:v>
      </x:c>
      <x:c r="O47" s="8" t="str">
        <x:v>Methee</x:v>
      </x:c>
      <x:c r="P47" s="9" t="str">
        <x:v>⁠2026-07-29T00:00:00+07:00</x:v>
      </x:c>
      <x:c r="Q47" s="10" t="n">
        <x:v>1</x:v>
      </x:c>
      <x:c r="R47" s="8" t="str">
        <x:v>body_map_recommendations</x:v>
      </x:c>
      <x:c r="S47" s="8" t="str">
        <x:v>3</x:v>
      </x:c>
    </x:row>
    <x:row r="48" ht="48" customHeight="1">
      <x:c r="A48" s="8" t="str">
        <x:v>act_body_trunk_high.02</x:v>
      </x:c>
      <x:c r="B48" s="8" t="str">
        <x:v>act_body_trunk_high</x:v>
      </x:c>
      <x:c r="C48" s="8" t="str">
        <x:v>recommendation</x:v>
      </x:c>
      <x:c r="D48" s="11" t="str">
        <x:v>หันหน้าเข้าหาวัสดุก่อนยก</x:v>
      </x:c>
      <x:c r="E48" s="11" t="str">
        <x:v>Face the material before lifting.</x:v>
      </x:c>
      <x:c r="F48" s="8" t="str">
        <x:v>direct</x:v>
      </x:c>
      <x:c r="G48" s="8" t="str">
        <x:v>pass</x:v>
      </x:c>
      <x:c r="H48" s="8" t="str">
        <x:v>not_applicable</x:v>
      </x:c>
      <x:c r="I48" s="8" t="str">
        <x:v>pass</x:v>
      </x:c>
      <x:c r="J48" s="8" t="str">
        <x:v>pass</x:v>
      </x:c>
      <x:c r="K48" s="8" t="str">
        <x:v>pass</x:v>
      </x:c>
      <x:c r="L48" s="8" t="str">
        <x:v>pass</x:v>
      </x:c>
      <x:c r="M48" s="11" t="str"/>
      <x:c r="N48" s="8" t="str">
        <x:v>approved</x:v>
      </x:c>
      <x:c r="O48" s="8" t="str">
        <x:v>Methee</x:v>
      </x:c>
      <x:c r="P48" s="9" t="str">
        <x:v>⁠2026-07-29T00:00:00+07:00</x:v>
      </x:c>
      <x:c r="Q48" s="10" t="n">
        <x:v>1</x:v>
      </x:c>
      <x:c r="R48" s="8" t="str">
        <x:v>body_map_recommendations</x:v>
      </x:c>
      <x:c r="S48" s="8" t="str">
        <x:v>3</x:v>
      </x:c>
    </x:row>
    <x:row r="49" ht="48" customHeight="1">
      <x:c r="A49" s="8" t="str">
        <x:v>act_body_trunk_high.03</x:v>
      </x:c>
      <x:c r="B49" s="8" t="str">
        <x:v>act_body_trunk_high</x:v>
      </x:c>
      <x:c r="C49" s="8" t="str">
        <x:v>recommendation</x:v>
      </x:c>
      <x:c r="D49" s="11" t="str">
        <x:v>หมุนเท้าแทนการบิดเอว</x:v>
      </x:c>
      <x:c r="E49" s="11" t="str">
        <x:v>Turn with the feet instead of twisting the waist.</x:v>
      </x:c>
      <x:c r="F49" s="8" t="str">
        <x:v>direct</x:v>
      </x:c>
      <x:c r="G49" s="8" t="str">
        <x:v>pass</x:v>
      </x:c>
      <x:c r="H49" s="8" t="str">
        <x:v>not_applicable</x:v>
      </x:c>
      <x:c r="I49" s="8" t="str">
        <x:v>pass</x:v>
      </x:c>
      <x:c r="J49" s="8" t="str">
        <x:v>pass</x:v>
      </x:c>
      <x:c r="K49" s="8" t="str">
        <x:v>pass</x:v>
      </x:c>
      <x:c r="L49" s="8" t="str">
        <x:v>pass</x:v>
      </x:c>
      <x:c r="M49" s="11" t="str"/>
      <x:c r="N49" s="8" t="str">
        <x:v>approved</x:v>
      </x:c>
      <x:c r="O49" s="8" t="str">
        <x:v>Methee</x:v>
      </x:c>
      <x:c r="P49" s="9" t="str">
        <x:v>⁠2026-07-29T00:00:00+07:00</x:v>
      </x:c>
      <x:c r="Q49" s="10" t="n">
        <x:v>1</x:v>
      </x:c>
      <x:c r="R49" s="8" t="str">
        <x:v>body_map_recommendations</x:v>
      </x:c>
      <x:c r="S49" s="8" t="str">
        <x:v>3</x:v>
      </x:c>
    </x:row>
    <x:row r="50" ht="48" customHeight="1">
      <x:c r="A50" s="8" t="str">
        <x:v>act_body_trunk_medium.01</x:v>
      </x:c>
      <x:c r="B50" s="8" t="str">
        <x:v>act_body_trunk_medium</x:v>
      </x:c>
      <x:c r="C50" s="8" t="str">
        <x:v>recommendation</x:v>
      </x:c>
      <x:c r="D50" s="11" t="str">
        <x:v>วางวัสดุให้อยู่ใกล้ตัวไม่เกิน 40 ซม.</x:v>
      </x:c>
      <x:c r="E50" s="11" t="str">
        <x:v>Keep materials within 40 cm.</x:v>
      </x:c>
      <x:c r="F50" s="8" t="str">
        <x:v>direct</x:v>
      </x:c>
      <x:c r="G50" s="8" t="str">
        <x:v>pass</x:v>
      </x:c>
      <x:c r="H50" s="8" t="str">
        <x:v>pass</x:v>
      </x:c>
      <x:c r="I50" s="8" t="str">
        <x:v>pass</x:v>
      </x:c>
      <x:c r="J50" s="8" t="str">
        <x:v>pass</x:v>
      </x:c>
      <x:c r="K50" s="8" t="str">
        <x:v>pass</x:v>
      </x:c>
      <x:c r="L50" s="8" t="str">
        <x:v>pass</x:v>
      </x:c>
      <x:c r="M50" s="11" t="str"/>
      <x:c r="N50" s="8" t="str">
        <x:v>approved</x:v>
      </x:c>
      <x:c r="O50" s="8" t="str">
        <x:v>Methee</x:v>
      </x:c>
      <x:c r="P50" s="9" t="str">
        <x:v>⁠2026-07-29T00:00:00+07:00</x:v>
      </x:c>
      <x:c r="Q50" s="10" t="n">
        <x:v>1</x:v>
      </x:c>
      <x:c r="R50" s="8" t="str">
        <x:v>body_map_recommendations</x:v>
      </x:c>
      <x:c r="S50" s="8" t="str">
        <x:v>3</x:v>
      </x:c>
    </x:row>
    <x:row r="51" ht="48" customHeight="1">
      <x:c r="A51" s="8" t="str">
        <x:v>act_body_trunk_medium.02</x:v>
      </x:c>
      <x:c r="B51" s="8" t="str">
        <x:v>act_body_trunk_medium</x:v>
      </x:c>
      <x:c r="C51" s="8" t="str">
        <x:v>recommendation</x:v>
      </x:c>
      <x:c r="D51" s="11" t="str">
        <x:v>ยกงานจากพื้น 50-70 ซม.</x:v>
      </x:c>
      <x:c r="E51" s="11" t="str">
        <x:v>Raise work from the ground by 50-70 cm.</x:v>
      </x:c>
      <x:c r="F51" s="8" t="str">
        <x:v>direct</x:v>
      </x:c>
      <x:c r="G51" s="8" t="str">
        <x:v>pass</x:v>
      </x:c>
      <x:c r="H51" s="8" t="str">
        <x:v>pass</x:v>
      </x:c>
      <x:c r="I51" s="8" t="str">
        <x:v>pass</x:v>
      </x:c>
      <x:c r="J51" s="8" t="str">
        <x:v>pass</x:v>
      </x:c>
      <x:c r="K51" s="8" t="str">
        <x:v>pass</x:v>
      </x:c>
      <x:c r="L51" s="8" t="str">
        <x:v>pass</x:v>
      </x:c>
      <x:c r="M51" s="11" t="str"/>
      <x:c r="N51" s="8" t="str">
        <x:v>approved</x:v>
      </x:c>
      <x:c r="O51" s="8" t="str">
        <x:v>Methee</x:v>
      </x:c>
      <x:c r="P51" s="9" t="str">
        <x:v>⁠2026-07-29T00:00:00+07:00</x:v>
      </x:c>
      <x:c r="Q51" s="10" t="n">
        <x:v>1</x:v>
      </x:c>
      <x:c r="R51" s="8" t="str">
        <x:v>body_map_recommendations</x:v>
      </x:c>
      <x:c r="S51" s="8" t="str">
        <x:v>3</x:v>
      </x:c>
    </x:row>
    <x:row r="52" ht="48" customHeight="1">
      <x:c r="A52" s="8" t="str">
        <x:v>act_body_trunk_medium.03</x:v>
      </x:c>
      <x:c r="B52" s="8" t="str">
        <x:v>act_body_trunk_medium</x:v>
      </x:c>
      <x:c r="C52" s="8" t="str">
        <x:v>recommendation</x:v>
      </x:c>
      <x:c r="D52" s="11" t="str">
        <x:v>ลุกเปลี่ยนท่าทุก 20-30 นาที</x:v>
      </x:c>
      <x:c r="E52" s="11" t="str">
        <x:v>Stand up to change posture every 20-30 minutes.</x:v>
      </x:c>
      <x:c r="F52" s="8" t="str">
        <x:v>direct</x:v>
      </x:c>
      <x:c r="G52" s="8" t="str">
        <x:v>pass</x:v>
      </x:c>
      <x:c r="H52" s="8" t="str">
        <x:v>pass</x:v>
      </x:c>
      <x:c r="I52" s="8" t="str">
        <x:v>pass</x:v>
      </x:c>
      <x:c r="J52" s="8" t="str">
        <x:v>pass</x:v>
      </x:c>
      <x:c r="K52" s="8" t="str">
        <x:v>pass</x:v>
      </x:c>
      <x:c r="L52" s="8" t="str">
        <x:v>pass</x:v>
      </x:c>
      <x:c r="M52" s="11" t="str"/>
      <x:c r="N52" s="8" t="str">
        <x:v>approved</x:v>
      </x:c>
      <x:c r="O52" s="8" t="str">
        <x:v>Methee</x:v>
      </x:c>
      <x:c r="P52" s="9" t="str">
        <x:v>⁠2026-07-29T00:00:00+07:00</x:v>
      </x:c>
      <x:c r="Q52" s="10" t="n">
        <x:v>1</x:v>
      </x:c>
      <x:c r="R52" s="8" t="str">
        <x:v>body_map_recommendations</x:v>
      </x:c>
      <x:c r="S52" s="8" t="str">
        <x:v>3</x:v>
      </x:c>
    </x:row>
    <x:row r="53" ht="48" customHeight="1">
      <x:c r="A53" s="8" t="str">
        <x:v>act_body_trunk_very_high.01</x:v>
      </x:c>
      <x:c r="B53" s="8" t="str">
        <x:v>act_body_trunk_very_high</x:v>
      </x:c>
      <x:c r="C53" s="8" t="str">
        <x:v>recommendation</x:v>
      </x:c>
      <x:c r="D53" s="11" t="str">
        <x:v>ใช้รถเข็นหรืออุปกรณ์ช่วยยก</x:v>
      </x:c>
      <x:c r="E53" s="11" t="str">
        <x:v>Use carts or lifting aids.</x:v>
      </x:c>
      <x:c r="F53" s="8" t="str">
        <x:v>direct</x:v>
      </x:c>
      <x:c r="G53" s="8" t="str">
        <x:v>pass</x:v>
      </x:c>
      <x:c r="H53" s="8" t="str">
        <x:v>not_applicable</x:v>
      </x:c>
      <x:c r="I53" s="8" t="str">
        <x:v>pass</x:v>
      </x:c>
      <x:c r="J53" s="8" t="str">
        <x:v>pass</x:v>
      </x:c>
      <x:c r="K53" s="8" t="str">
        <x:v>pass</x:v>
      </x:c>
      <x:c r="L53" s="8" t="str">
        <x:v>pass</x:v>
      </x:c>
      <x:c r="M53" s="11" t="str"/>
      <x:c r="N53" s="8" t="str">
        <x:v>approved</x:v>
      </x:c>
      <x:c r="O53" s="8" t="str">
        <x:v>Methee</x:v>
      </x:c>
      <x:c r="P53" s="9" t="str">
        <x:v>⁠2026-07-29T00:00:00+07:00</x:v>
      </x:c>
      <x:c r="Q53" s="10" t="n">
        <x:v>1</x:v>
      </x:c>
      <x:c r="R53" s="8" t="str">
        <x:v>body_map_recommendations</x:v>
      </x:c>
      <x:c r="S53" s="8" t="str">
        <x:v>3-4</x:v>
      </x:c>
    </x:row>
    <x:row r="54" ht="48" customHeight="1">
      <x:c r="A54" s="8" t="str">
        <x:v>act_body_trunk_very_high.02</x:v>
      </x:c>
      <x:c r="B54" s="8" t="str">
        <x:v>act_body_trunk_very_high</x:v>
      </x:c>
      <x:c r="C54" s="8" t="str">
        <x:v>recommendation</x:v>
      </x:c>
      <x:c r="D54" s="11" t="str">
        <x:v>หลีกเลี่ยงการยกเกิน 20 กก. คนเดียว</x:v>
      </x:c>
      <x:c r="E54" s="11" t="str">
        <x:v>Avoid lifting more than 20 kg alone.</x:v>
      </x:c>
      <x:c r="F54" s="8" t="str">
        <x:v>direct</x:v>
      </x:c>
      <x:c r="G54" s="8" t="str">
        <x:v>pass</x:v>
      </x:c>
      <x:c r="H54" s="8" t="str">
        <x:v>pass</x:v>
      </x:c>
      <x:c r="I54" s="8" t="str">
        <x:v>pass</x:v>
      </x:c>
      <x:c r="J54" s="8" t="str">
        <x:v>pass</x:v>
      </x:c>
      <x:c r="K54" s="8" t="str">
        <x:v>pass</x:v>
      </x:c>
      <x:c r="L54" s="8" t="str">
        <x:v>pass</x:v>
      </x:c>
      <x:c r="M54" s="11" t="str"/>
      <x:c r="N54" s="8" t="str">
        <x:v>approved</x:v>
      </x:c>
      <x:c r="O54" s="8" t="str">
        <x:v>Methee</x:v>
      </x:c>
      <x:c r="P54" s="9" t="str">
        <x:v>⁠2026-07-29T00:00:00+07:00</x:v>
      </x:c>
      <x:c r="Q54" s="10" t="n">
        <x:v>1</x:v>
      </x:c>
      <x:c r="R54" s="8" t="str">
        <x:v>body_map_recommendations</x:v>
      </x:c>
      <x:c r="S54" s="8" t="str">
        <x:v>3-4</x:v>
      </x:c>
    </x:row>
    <x:row r="55" ht="48" customHeight="1">
      <x:c r="A55" s="8" t="str">
        <x:v>act_body_trunk_very_high.03</x:v>
      </x:c>
      <x:c r="B55" s="8" t="str">
        <x:v>act_body_trunk_very_high</x:v>
      </x:c>
      <x:c r="C55" s="8" t="str">
        <x:v>recommendation</x:v>
      </x:c>
      <x:c r="D55" s="11" t="str">
        <x:v>ปรับงานให้อยู่ระดับเข่าถึงเอว</x:v>
      </x:c>
      <x:c r="E55" s="11" t="str">
        <x:v>Raise the work area to knee-to-waist height.</x:v>
      </x:c>
      <x:c r="F55" s="8" t="str">
        <x:v>direct</x:v>
      </x:c>
      <x:c r="G55" s="8" t="str">
        <x:v>pass</x:v>
      </x:c>
      <x:c r="H55" s="8" t="str">
        <x:v>not_applicable</x:v>
      </x:c>
      <x:c r="I55" s="8" t="str">
        <x:v>pass</x:v>
      </x:c>
      <x:c r="J55" s="8" t="str">
        <x:v>pass</x:v>
      </x:c>
      <x:c r="K55" s="8" t="str">
        <x:v>pass</x:v>
      </x:c>
      <x:c r="L55" s="8" t="str">
        <x:v>pass</x:v>
      </x:c>
      <x:c r="M55" s="11" t="str"/>
      <x:c r="N55" s="8" t="str">
        <x:v>approved</x:v>
      </x:c>
      <x:c r="O55" s="8" t="str">
        <x:v>Methee</x:v>
      </x:c>
      <x:c r="P55" s="9" t="str">
        <x:v>⁠2026-07-29T00:00:00+07:00</x:v>
      </x:c>
      <x:c r="Q55" s="10" t="n">
        <x:v>1</x:v>
      </x:c>
      <x:c r="R55" s="8" t="str">
        <x:v>body_map_recommendations</x:v>
      </x:c>
      <x:c r="S55" s="8" t="str">
        <x:v>3-4</x:v>
      </x:c>
    </x:row>
    <x:row r="56" ht="48" customHeight="1">
      <x:c r="A56" s="8" t="str">
        <x:v>act_body_trunk_very_high.04</x:v>
      </x:c>
      <x:c r="B56" s="8" t="str">
        <x:v>act_body_trunk_very_high</x:v>
      </x:c>
      <x:c r="C56" s="8" t="str">
        <x:v>recommendation</x:v>
      </x:c>
      <x:c r="D56" s="11" t="str">
        <x:v>ลดการขนย้ายที่ไม่จำเป็น</x:v>
      </x:c>
      <x:c r="E56" s="11" t="str">
        <x:v>Reduce unnecessary carries.</x:v>
      </x:c>
      <x:c r="F56" s="8" t="str">
        <x:v>direct</x:v>
      </x:c>
      <x:c r="G56" s="8" t="str">
        <x:v>pass</x:v>
      </x:c>
      <x:c r="H56" s="8" t="str">
        <x:v>not_applicable</x:v>
      </x:c>
      <x:c r="I56" s="8" t="str">
        <x:v>pass</x:v>
      </x:c>
      <x:c r="J56" s="8" t="str">
        <x:v>pass</x:v>
      </x:c>
      <x:c r="K56" s="8" t="str">
        <x:v>pass</x:v>
      </x:c>
      <x:c r="L56" s="8" t="str">
        <x:v>pass</x:v>
      </x:c>
      <x:c r="M56" s="11" t="str"/>
      <x:c r="N56" s="8" t="str">
        <x:v>approved</x:v>
      </x:c>
      <x:c r="O56" s="8" t="str">
        <x:v>Methee</x:v>
      </x:c>
      <x:c r="P56" s="9" t="str">
        <x:v>⁠2026-07-29T00:00:00+07:00</x:v>
      </x:c>
      <x:c r="Q56" s="10" t="n">
        <x:v>1</x:v>
      </x:c>
      <x:c r="R56" s="8" t="str">
        <x:v>body_map_recommendations</x:v>
      </x:c>
      <x:c r="S56" s="8" t="str">
        <x:v>3-4</x:v>
      </x:c>
    </x:row>
    <x:row r="57" ht="48" customHeight="1">
      <x:c r="A57" s="8" t="str">
        <x:v>act_body_wrists_high.01</x:v>
      </x:c>
      <x:c r="B57" s="8" t="str">
        <x:v>act_body_wrists_high</x:v>
      </x:c>
      <x:c r="C57" s="8" t="str">
        <x:v>recommendation</x:v>
      </x:c>
      <x:c r="D57" s="11" t="str">
        <x:v>พักมือและข้อมือทุก 15-20 นาที</x:v>
      </x:c>
      <x:c r="E57" s="11" t="str">
        <x:v>Rest the hands and wrists every 15-20 minutes.</x:v>
      </x:c>
      <x:c r="F57" s="8" t="str">
        <x:v>direct</x:v>
      </x:c>
      <x:c r="G57" s="8" t="str">
        <x:v>pass</x:v>
      </x:c>
      <x:c r="H57" s="8" t="str">
        <x:v>pass</x:v>
      </x:c>
      <x:c r="I57" s="8" t="str">
        <x:v>pass</x:v>
      </x:c>
      <x:c r="J57" s="8" t="str">
        <x:v>pass</x:v>
      </x:c>
      <x:c r="K57" s="8" t="str">
        <x:v>pass</x:v>
      </x:c>
      <x:c r="L57" s="8" t="str">
        <x:v>pass</x:v>
      </x:c>
      <x:c r="M57" s="11" t="str"/>
      <x:c r="N57" s="8" t="str">
        <x:v>approved</x:v>
      </x:c>
      <x:c r="O57" s="8" t="str">
        <x:v>Methee</x:v>
      </x:c>
      <x:c r="P57" s="9" t="str">
        <x:v>⁠2026-07-29T00:00:00+07:00</x:v>
      </x:c>
      <x:c r="Q57" s="10" t="n">
        <x:v>1</x:v>
      </x:c>
      <x:c r="R57" s="8" t="str">
        <x:v>body_map_recommendations</x:v>
      </x:c>
      <x:c r="S57" s="8" t="str">
        <x:v>5-6</x:v>
      </x:c>
    </x:row>
    <x:row r="58" ht="48" customHeight="1">
      <x:c r="A58" s="8" t="str">
        <x:v>act_body_wrists_high.02</x:v>
      </x:c>
      <x:c r="B58" s="8" t="str">
        <x:v>act_body_wrists_high</x:v>
      </x:c>
      <x:c r="C58" s="8" t="str">
        <x:v>recommendation</x:v>
      </x:c>
      <x:c r="D58" s="11" t="str">
        <x:v>สลับงานทุก 20-30 นาที</x:v>
      </x:c>
      <x:c r="E58" s="11" t="str">
        <x:v>Rotate tasks every 20-30 minutes.</x:v>
      </x:c>
      <x:c r="F58" s="8" t="str">
        <x:v>direct</x:v>
      </x:c>
      <x:c r="G58" s="8" t="str">
        <x:v>pass</x:v>
      </x:c>
      <x:c r="H58" s="8" t="str">
        <x:v>pass</x:v>
      </x:c>
      <x:c r="I58" s="8" t="str">
        <x:v>pass</x:v>
      </x:c>
      <x:c r="J58" s="8" t="str">
        <x:v>pass</x:v>
      </x:c>
      <x:c r="K58" s="8" t="str">
        <x:v>pass</x:v>
      </x:c>
      <x:c r="L58" s="8" t="str">
        <x:v>pass</x:v>
      </x:c>
      <x:c r="M58" s="11" t="str"/>
      <x:c r="N58" s="8" t="str">
        <x:v>approved</x:v>
      </x:c>
      <x:c r="O58" s="8" t="str">
        <x:v>Methee</x:v>
      </x:c>
      <x:c r="P58" s="9" t="str">
        <x:v>⁠2026-07-29T00:00:00+07:00</x:v>
      </x:c>
      <x:c r="Q58" s="10" t="n">
        <x:v>1</x:v>
      </x:c>
      <x:c r="R58" s="8" t="str">
        <x:v>body_map_recommendations</x:v>
      </x:c>
      <x:c r="S58" s="8" t="str">
        <x:v>5-6</x:v>
      </x:c>
    </x:row>
    <x:row r="59" ht="48" customHeight="1">
      <x:c r="A59" s="8" t="str">
        <x:v>act_body_wrists_high.03</x:v>
      </x:c>
      <x:c r="B59" s="8" t="str">
        <x:v>act_body_wrists_high</x:v>
      </x:c>
      <x:c r="C59" s="8" t="str">
        <x:v>recommendation</x:v>
      </x:c>
      <x:c r="D59" s="11" t="str">
        <x:v>ใช้ด้ามจับที่เหมาะสม</x:v>
      </x:c>
      <x:c r="E59" s="11" t="str">
        <x:v>Use suitable handles.</x:v>
      </x:c>
      <x:c r="F59" s="8" t="str">
        <x:v>direct</x:v>
      </x:c>
      <x:c r="G59" s="8" t="str">
        <x:v>pass</x:v>
      </x:c>
      <x:c r="H59" s="8" t="str">
        <x:v>not_applicable</x:v>
      </x:c>
      <x:c r="I59" s="8" t="str">
        <x:v>pass</x:v>
      </x:c>
      <x:c r="J59" s="8" t="str">
        <x:v>pass</x:v>
      </x:c>
      <x:c r="K59" s="8" t="str">
        <x:v>pass</x:v>
      </x:c>
      <x:c r="L59" s="8" t="str">
        <x:v>pass</x:v>
      </x:c>
      <x:c r="M59" s="11" t="str"/>
      <x:c r="N59" s="8" t="str">
        <x:v>approved</x:v>
      </x:c>
      <x:c r="O59" s="8" t="str">
        <x:v>Methee</x:v>
      </x:c>
      <x:c r="P59" s="9" t="str">
        <x:v>⁠2026-07-29T00:00:00+07:00</x:v>
      </x:c>
      <x:c r="Q59" s="10" t="n">
        <x:v>1</x:v>
      </x:c>
      <x:c r="R59" s="8" t="str">
        <x:v>body_map_recommendations</x:v>
      </x:c>
      <x:c r="S59" s="8" t="str">
        <x:v>5-6</x:v>
      </x:c>
    </x:row>
    <x:row r="60" ht="48" customHeight="1">
      <x:c r="A60" s="8" t="str">
        <x:v>act_body_wrists_high.04</x:v>
      </x:c>
      <x:c r="B60" s="8" t="str">
        <x:v>act_body_wrists_high</x:v>
      </x:c>
      <x:c r="C60" s="8" t="str">
        <x:v>recommendation</x:v>
      </x:c>
      <x:c r="D60" s="11" t="str">
        <x:v>ลดแรงกำขณะจับอุปกรณ์</x:v>
      </x:c>
      <x:c r="E60" s="11" t="str">
        <x:v>Reduce gripping force when holding equipment.</x:v>
      </x:c>
      <x:c r="F60" s="8" t="str">
        <x:v>direct</x:v>
      </x:c>
      <x:c r="G60" s="8" t="str">
        <x:v>pass</x:v>
      </x:c>
      <x:c r="H60" s="8" t="str">
        <x:v>not_applicable</x:v>
      </x:c>
      <x:c r="I60" s="8" t="str">
        <x:v>pass</x:v>
      </x:c>
      <x:c r="J60" s="8" t="str">
        <x:v>pass</x:v>
      </x:c>
      <x:c r="K60" s="8" t="str">
        <x:v>pass</x:v>
      </x:c>
      <x:c r="L60" s="8" t="str">
        <x:v>pass</x:v>
      </x:c>
      <x:c r="M60" s="11" t="str"/>
      <x:c r="N60" s="8" t="str">
        <x:v>approved</x:v>
      </x:c>
      <x:c r="O60" s="8" t="str">
        <x:v>Methee</x:v>
      </x:c>
      <x:c r="P60" s="9" t="str">
        <x:v>⁠2026-07-29T00:00:00+07:00</x:v>
      </x:c>
      <x:c r="Q60" s="10" t="n">
        <x:v>1</x:v>
      </x:c>
      <x:c r="R60" s="8" t="str">
        <x:v>body_map_recommendations</x:v>
      </x:c>
      <x:c r="S60" s="8" t="str">
        <x:v>5-6</x:v>
      </x:c>
    </x:row>
    <x:row r="61" ht="48" customHeight="1">
      <x:c r="A61" s="8" t="str">
        <x:v>act_body_wrists_medium.01</x:v>
      </x:c>
      <x:c r="B61" s="8" t="str">
        <x:v>act_body_wrists_medium</x:v>
      </x:c>
      <x:c r="C61" s="8" t="str">
        <x:v>recommendation</x:v>
      </x:c>
      <x:c r="D61" s="11" t="str">
        <x:v>ใช้ด้ามจับที่พอดีมือ</x:v>
      </x:c>
      <x:c r="E61" s="11" t="str">
        <x:v>Use handles that fit the hand.</x:v>
      </x:c>
      <x:c r="F61" s="8" t="str">
        <x:v>direct</x:v>
      </x:c>
      <x:c r="G61" s="8" t="str">
        <x:v>pass</x:v>
      </x:c>
      <x:c r="H61" s="8" t="str">
        <x:v>not_applicable</x:v>
      </x:c>
      <x:c r="I61" s="8" t="str">
        <x:v>pass</x:v>
      </x:c>
      <x:c r="J61" s="8" t="str">
        <x:v>pass</x:v>
      </x:c>
      <x:c r="K61" s="8" t="str">
        <x:v>pass</x:v>
      </x:c>
      <x:c r="L61" s="8" t="str">
        <x:v>pass</x:v>
      </x:c>
      <x:c r="M61" s="11" t="str"/>
      <x:c r="N61" s="8" t="str">
        <x:v>approved</x:v>
      </x:c>
      <x:c r="O61" s="8" t="str">
        <x:v>Methee</x:v>
      </x:c>
      <x:c r="P61" s="9" t="str">
        <x:v>⁠2026-07-29T00:00:00+07:00</x:v>
      </x:c>
      <x:c r="Q61" s="10" t="n">
        <x:v>1</x:v>
      </x:c>
      <x:c r="R61" s="8" t="str">
        <x:v>body_map_recommendations</x:v>
      </x:c>
      <x:c r="S61" s="8" t="str">
        <x:v>5</x:v>
      </x:c>
    </x:row>
    <x:row r="62" ht="48" customHeight="1">
      <x:c r="A62" s="8" t="str">
        <x:v>act_body_wrists_medium.02</x:v>
      </x:c>
      <x:c r="B62" s="8" t="str">
        <x:v>act_body_wrists_medium</x:v>
      </x:c>
      <x:c r="C62" s="8" t="str">
        <x:v>recommendation</x:v>
      </x:c>
      <x:c r="D62" s="11" t="str">
        <x:v>คลายมือเป็นระยะ</x:v>
      </x:c>
      <x:c r="E62" s="11" t="str">
        <x:v>Relax the grip regularly.</x:v>
      </x:c>
      <x:c r="F62" s="8" t="str">
        <x:v>direct</x:v>
      </x:c>
      <x:c r="G62" s="8" t="str">
        <x:v>pass</x:v>
      </x:c>
      <x:c r="H62" s="8" t="str">
        <x:v>not_applicable</x:v>
      </x:c>
      <x:c r="I62" s="8" t="str">
        <x:v>pass</x:v>
      </x:c>
      <x:c r="J62" s="8" t="str">
        <x:v>pass</x:v>
      </x:c>
      <x:c r="K62" s="8" t="str">
        <x:v>pass</x:v>
      </x:c>
      <x:c r="L62" s="8" t="str">
        <x:v>pass</x:v>
      </x:c>
      <x:c r="M62" s="11" t="str"/>
      <x:c r="N62" s="8" t="str">
        <x:v>approved</x:v>
      </x:c>
      <x:c r="O62" s="8" t="str">
        <x:v>Methee</x:v>
      </x:c>
      <x:c r="P62" s="9" t="str">
        <x:v>⁠2026-07-29T00:00:00+07:00</x:v>
      </x:c>
      <x:c r="Q62" s="10" t="n">
        <x:v>1</x:v>
      </x:c>
      <x:c r="R62" s="8" t="str">
        <x:v>body_map_recommendations</x:v>
      </x:c>
      <x:c r="S62" s="8" t="str">
        <x:v>5</x:v>
      </x:c>
    </x:row>
    <x:row r="63" ht="48" customHeight="1">
      <x:c r="A63" s="8" t="str">
        <x:v>act_body_wrists_medium.03</x:v>
      </x:c>
      <x:c r="B63" s="8" t="str">
        <x:v>act_body_wrists_medium</x:v>
      </x:c>
      <x:c r="C63" s="8" t="str">
        <x:v>recommendation</x:v>
      </x:c>
      <x:c r="D63" s="11" t="str">
        <x:v>พักข้อมือทุก 30 นาที และยืดเหยียดนิ้วมือกับข้อมือระหว่างพัก</x:v>
      </x:c>
      <x:c r="E63" s="11" t="str">
        <x:v>Rest the wrists every 30 minutes and stretch the fingers and wrists during breaks.</x:v>
      </x:c>
      <x:c r="F63" s="8" t="str">
        <x:v>direct</x:v>
      </x:c>
      <x:c r="G63" s="8" t="str">
        <x:v>pass</x:v>
      </x:c>
      <x:c r="H63" s="8" t="str">
        <x:v>pass</x:v>
      </x:c>
      <x:c r="I63" s="8" t="str">
        <x:v>pass</x:v>
      </x:c>
      <x:c r="J63" s="8" t="str">
        <x:v>pass</x:v>
      </x:c>
      <x:c r="K63" s="8" t="str">
        <x:v>pass</x:v>
      </x:c>
      <x:c r="L63" s="8" t="str">
        <x:v>pass</x:v>
      </x:c>
      <x:c r="M63" s="11" t="str"/>
      <x:c r="N63" s="8" t="str">
        <x:v>approved</x:v>
      </x:c>
      <x:c r="O63" s="8" t="str">
        <x:v>Methee</x:v>
      </x:c>
      <x:c r="P63" s="9" t="str">
        <x:v>⁠2026-07-29T00:00:00+07:00</x:v>
      </x:c>
      <x:c r="Q63" s="10" t="n">
        <x:v>1</x:v>
      </x:c>
      <x:c r="R63" s="8" t="str">
        <x:v>body_map_recommendations</x:v>
      </x:c>
      <x:c r="S63" s="8" t="str">
        <x:v>5</x:v>
      </x:c>
    </x:row>
    <x:row r="64" ht="48" customHeight="1">
      <x:c r="A64" s="8" t="str">
        <x:v>act_body_wrists_very_high.01</x:v>
      </x:c>
      <x:c r="B64" s="8" t="str">
        <x:v>act_body_wrists_very_high</x:v>
      </x:c>
      <x:c r="C64" s="8" t="str">
        <x:v>recommendation</x:v>
      </x:c>
      <x:c r="D64" s="11" t="str">
        <x:v>พักข้อมือ 3-5 นาทีทุก 15 นาที</x:v>
      </x:c>
      <x:c r="E64" s="11" t="str">
        <x:v>Rest wrists 3-5 minutes every 15 minutes.</x:v>
      </x:c>
      <x:c r="F64" s="8" t="str">
        <x:v>direct</x:v>
      </x:c>
      <x:c r="G64" s="8" t="str">
        <x:v>pass</x:v>
      </x:c>
      <x:c r="H64" s="8" t="str">
        <x:v>pass</x:v>
      </x:c>
      <x:c r="I64" s="8" t="str">
        <x:v>pass</x:v>
      </x:c>
      <x:c r="J64" s="8" t="str">
        <x:v>pass</x:v>
      </x:c>
      <x:c r="K64" s="8" t="str">
        <x:v>pass</x:v>
      </x:c>
      <x:c r="L64" s="8" t="str">
        <x:v>pass</x:v>
      </x:c>
      <x:c r="M64" s="11" t="str"/>
      <x:c r="N64" s="8" t="str">
        <x:v>approved</x:v>
      </x:c>
      <x:c r="O64" s="8" t="str">
        <x:v>Methee</x:v>
      </x:c>
      <x:c r="P64" s="9" t="str">
        <x:v>⁠2026-07-29T00:00:00+07:00</x:v>
      </x:c>
      <x:c r="Q64" s="10" t="n">
        <x:v>1</x:v>
      </x:c>
      <x:c r="R64" s="8" t="str">
        <x:v>body_map_recommendations</x:v>
      </x:c>
      <x:c r="S64" s="8" t="str">
        <x:v>6</x:v>
      </x:c>
    </x:row>
    <x:row r="65" ht="48" customHeight="1">
      <x:c r="A65" s="8" t="str">
        <x:v>act_body_wrists_very_high.02</x:v>
      </x:c>
      <x:c r="B65" s="8" t="str">
        <x:v>act_body_wrists_very_high</x:v>
      </x:c>
      <x:c r="C65" s="8" t="str">
        <x:v>recommendation</x:v>
      </x:c>
      <x:c r="D65" s="11" t="str">
        <x:v>เปลี่ยนเครื่องมือให้พอดีกับมือ</x:v>
      </x:c>
      <x:c r="E65" s="11" t="str">
        <x:v>Change to better-fitting tools.</x:v>
      </x:c>
      <x:c r="F65" s="8" t="str">
        <x:v>direct</x:v>
      </x:c>
      <x:c r="G65" s="8" t="str">
        <x:v>pass</x:v>
      </x:c>
      <x:c r="H65" s="8" t="str">
        <x:v>not_applicable</x:v>
      </x:c>
      <x:c r="I65" s="8" t="str">
        <x:v>pass</x:v>
      </x:c>
      <x:c r="J65" s="8" t="str">
        <x:v>pass</x:v>
      </x:c>
      <x:c r="K65" s="8" t="str">
        <x:v>pass</x:v>
      </x:c>
      <x:c r="L65" s="8" t="str">
        <x:v>pass</x:v>
      </x:c>
      <x:c r="M65" s="11" t="str"/>
      <x:c r="N65" s="8" t="str">
        <x:v>approved</x:v>
      </x:c>
      <x:c r="O65" s="8" t="str">
        <x:v>Methee</x:v>
      </x:c>
      <x:c r="P65" s="9" t="str">
        <x:v>⁠2026-07-29T00:00:00+07:00</x:v>
      </x:c>
      <x:c r="Q65" s="10" t="n">
        <x:v>1</x:v>
      </x:c>
      <x:c r="R65" s="8" t="str">
        <x:v>body_map_recommendations</x:v>
      </x:c>
      <x:c r="S65" s="8" t="str">
        <x:v>6</x:v>
      </x:c>
    </x:row>
    <x:row r="66" ht="48" customHeight="1">
      <x:c r="A66" s="8" t="str">
        <x:v>act_body_wrists_very_high.03</x:v>
      </x:c>
      <x:c r="B66" s="8" t="str">
        <x:v>act_body_wrists_very_high</x:v>
      </x:c>
      <x:c r="C66" s="8" t="str">
        <x:v>recommendation</x:v>
      </x:c>
      <x:c r="D66" s="11" t="str">
        <x:v>ใช้อุปกรณ์ช่วยลดแรงกำหรือแรงบีบที่ไม่จำเป็น</x:v>
      </x:c>
      <x:c r="E66" s="11" t="str">
        <x:v>Use aids that reduce unnecessary gripping or squeezing force.</x:v>
      </x:c>
      <x:c r="F66" s="8" t="str">
        <x:v>direct</x:v>
      </x:c>
      <x:c r="G66" s="8" t="str">
        <x:v>pass</x:v>
      </x:c>
      <x:c r="H66" s="8" t="str">
        <x:v>not_applicable</x:v>
      </x:c>
      <x:c r="I66" s="8" t="str">
        <x:v>pass</x:v>
      </x:c>
      <x:c r="J66" s="8" t="str">
        <x:v>pass</x:v>
      </x:c>
      <x:c r="K66" s="8" t="str">
        <x:v>pass</x:v>
      </x:c>
      <x:c r="L66" s="8" t="str">
        <x:v>pass</x:v>
      </x:c>
      <x:c r="M66" s="11" t="str"/>
      <x:c r="N66" s="8" t="str">
        <x:v>approved</x:v>
      </x:c>
      <x:c r="O66" s="8" t="str">
        <x:v>Methee</x:v>
      </x:c>
      <x:c r="P66" s="9" t="str">
        <x:v>⁠2026-07-29T00:00:00+07:00</x:v>
      </x:c>
      <x:c r="Q66" s="10" t="n">
        <x:v>1</x:v>
      </x:c>
      <x:c r="R66" s="8" t="str">
        <x:v>body_map_recommendations</x:v>
      </x:c>
      <x:c r="S66" s="8" t="str">
        <x:v>6</x:v>
      </x:c>
    </x:row>
    <x:row r="67" ht="48" customHeight="1">
      <x:c r="A67" s="8" t="str">
        <x:v>act_check_wheels.01</x:v>
      </x:c>
      <x:c r="B67" s="8" t="str">
        <x:v>act_check_wheels</x:v>
      </x:c>
      <x:c r="C67" s="8" t="str">
        <x:v>recommendation</x:v>
      </x:c>
      <x:c r="D67" s="11" t="str">
        <x:v>ตรวจสอบล้อรถเข็นว่าฝืดหรือไม่</x:v>
      </x:c>
      <x:c r="E67" s="11" t="str">
        <x:v>Check cart wheels for friction.</x:v>
      </x:c>
      <x:c r="F67" s="8" t="str">
        <x:v>direct</x:v>
      </x:c>
      <x:c r="G67" s="8" t="str">
        <x:v>pass</x:v>
      </x:c>
      <x:c r="H67" s="8" t="str">
        <x:v>not_applicable</x:v>
      </x:c>
      <x:c r="I67" s="8" t="str">
        <x:v>pass</x:v>
      </x:c>
      <x:c r="J67" s="8" t="str">
        <x:v>pass</x:v>
      </x:c>
      <x:c r="K67" s="8" t="str">
        <x:v>pass</x:v>
      </x:c>
      <x:c r="L67" s="8" t="str">
        <x:v>pass</x:v>
      </x:c>
      <x:c r="M67" s="11" t="str"/>
      <x:c r="N67" s="8" t="str">
        <x:v>approved</x:v>
      </x:c>
      <x:c r="O67" s="8" t="str">
        <x:v>Methee</x:v>
      </x:c>
      <x:c r="P67" s="9" t="str">
        <x:v>⁠2026-07-29T00:00:00+07:00</x:v>
      </x:c>
      <x:c r="Q67" s="10" t="n">
        <x:v>1</x:v>
      </x:c>
      <x:c r="R67" s="8" t="str">
        <x:v>ilo_ergonomic_checkpoints_agriculture</x:v>
      </x:c>
      <x:c r="S67" s="8" t="str">
        <x:v>37</x:v>
      </x:c>
    </x:row>
    <x:row r="68" ht="48" customHeight="1">
      <x:c r="A68" s="8" t="str">
        <x:v>act_extra_fert_cart.01</x:v>
      </x:c>
      <x:c r="B68" s="8" t="str">
        <x:v>act_extra_fert_cart</x:v>
      </x:c>
      <x:c r="C68" s="8" t="str">
        <x:v>recommendation</x:v>
      </x:c>
      <x:c r="D68" s="11" t="str">
        <x:v>ใช้รถเข็นบรรทุกกระสอบปุ๋ยแทนการแบก</x:v>
      </x:c>
      <x:c r="E68" s="11" t="str">
        <x:v>Use a cart to carry fertilizer sacks instead of carrying them on the body.</x:v>
      </x:c>
      <x:c r="F68" s="8" t="str">
        <x:v>direct</x:v>
      </x:c>
      <x:c r="G68" s="8" t="str">
        <x:v>pass</x:v>
      </x:c>
      <x:c r="H68" s="8" t="str">
        <x:v>not_applicable</x:v>
      </x:c>
      <x:c r="I68" s="8" t="str">
        <x:v>pass</x:v>
      </x:c>
      <x:c r="J68" s="8" t="str">
        <x:v>pass</x:v>
      </x:c>
      <x:c r="K68" s="8" t="str">
        <x:v>pass</x:v>
      </x:c>
      <x:c r="L68" s="8" t="str">
        <x:v>pass</x:v>
      </x:c>
      <x:c r="M68" s="11" t="str"/>
      <x:c r="N68" s="8" t="str">
        <x:v>approved</x:v>
      </x:c>
      <x:c r="O68" s="8" t="str">
        <x:v>Methee</x:v>
      </x:c>
      <x:c r="P68" s="9" t="str">
        <x:v>⁠2026-07-29T00:00:00+07:00</x:v>
      </x:c>
      <x:c r="Q68" s="10" t="n">
        <x:v>1</x:v>
      </x:c>
      <x:c r="R68" s="8" t="str">
        <x:v>app_recommendations_v3</x:v>
      </x:c>
      <x:c r="S68" s="8" t="str">
        <x:v>2</x:v>
      </x:c>
    </x:row>
    <x:row r="69" ht="48" customHeight="1">
      <x:c r="A69" s="8" t="str">
        <x:v>act_extra_prune_ladder.01</x:v>
      </x:c>
      <x:c r="B69" s="8" t="str">
        <x:v>act_extra_prune_ladder</x:v>
      </x:c>
      <x:c r="C69" s="8" t="str">
        <x:v>recommendation</x:v>
      </x:c>
      <x:c r="D69" s="11" t="str">
        <x:v>ใช้บันไดที่มั่นคงแทนการเอื้อมสุดแขน</x:v>
      </x:c>
      <x:c r="E69" s="11" t="str">
        <x:v>Use a stable ladder instead of reaching with the arm fully extended.</x:v>
      </x:c>
      <x:c r="F69" s="8" t="str">
        <x:v>direct</x:v>
      </x:c>
      <x:c r="G69" s="8" t="str">
        <x:v>pass</x:v>
      </x:c>
      <x:c r="H69" s="8" t="str">
        <x:v>not_applicable</x:v>
      </x:c>
      <x:c r="I69" s="8" t="str">
        <x:v>pass</x:v>
      </x:c>
      <x:c r="J69" s="8" t="str">
        <x:v>pass</x:v>
      </x:c>
      <x:c r="K69" s="8" t="str">
        <x:v>pass</x:v>
      </x:c>
      <x:c r="L69" s="8" t="str">
        <x:v>pass</x:v>
      </x:c>
      <x:c r="M69" s="11" t="str"/>
      <x:c r="N69" s="8" t="str">
        <x:v>approved</x:v>
      </x:c>
      <x:c r="O69" s="8" t="str">
        <x:v>Methee</x:v>
      </x:c>
      <x:c r="P69" s="9" t="str">
        <x:v>⁠2026-07-29T00:00:00+07:00</x:v>
      </x:c>
      <x:c r="Q69" s="10" t="n">
        <x:v>1</x:v>
      </x:c>
      <x:c r="R69" s="8" t="str">
        <x:v>app_recommendations_v3</x:v>
      </x:c>
      <x:c r="S69" s="8" t="str">
        <x:v>2</x:v>
      </x:c>
    </x:row>
    <x:row r="70" ht="48" customHeight="1">
      <x:c r="A70" s="8" t="str">
        <x:v>act_extra_prune_tool.01</x:v>
      </x:c>
      <x:c r="B70" s="8" t="str">
        <x:v>act_extra_prune_tool</x:v>
      </x:c>
      <x:c r="C70" s="8" t="str">
        <x:v>recommendation</x:v>
      </x:c>
      <x:c r="D70" s="11" t="str">
        <x:v>ใช้กรรไกรตัดกิ่งด้ามยาว</x:v>
      </x:c>
      <x:c r="E70" s="11" t="str">
        <x:v>Use long-handled pruning shears.</x:v>
      </x:c>
      <x:c r="F70" s="8" t="str">
        <x:v>direct</x:v>
      </x:c>
      <x:c r="G70" s="8" t="str">
        <x:v>pass</x:v>
      </x:c>
      <x:c r="H70" s="8" t="str">
        <x:v>not_applicable</x:v>
      </x:c>
      <x:c r="I70" s="8" t="str">
        <x:v>pass</x:v>
      </x:c>
      <x:c r="J70" s="8" t="str">
        <x:v>pass</x:v>
      </x:c>
      <x:c r="K70" s="8" t="str">
        <x:v>pass</x:v>
      </x:c>
      <x:c r="L70" s="8" t="str">
        <x:v>pass</x:v>
      </x:c>
      <x:c r="M70" s="11" t="str"/>
      <x:c r="N70" s="8" t="str">
        <x:v>approved</x:v>
      </x:c>
      <x:c r="O70" s="8" t="str">
        <x:v>Methee</x:v>
      </x:c>
      <x:c r="P70" s="9" t="str">
        <x:v>⁠2026-07-29T00:00:00+07:00</x:v>
      </x:c>
      <x:c r="Q70" s="10" t="n">
        <x:v>1</x:v>
      </x:c>
      <x:c r="R70" s="8" t="str">
        <x:v>app_recommendations_v3</x:v>
      </x:c>
      <x:c r="S70" s="8" t="str">
        <x:v>2</x:v>
      </x:c>
    </x:row>
    <x:row r="71" ht="48" customHeight="1">
      <x:c r="A71" s="8" t="str">
        <x:v>act_extra_spray_strap.01</x:v>
      </x:c>
      <x:c r="B71" s="8" t="str">
        <x:v>act_extra_spray_strap</x:v>
      </x:c>
      <x:c r="C71" s="8" t="str">
        <x:v>recommendation</x:v>
      </x:c>
      <x:c r="D71" s="11" t="str">
        <x:v>ปรับสายสะพายเครื่องพ่นยาให้กระชับ</x:v>
      </x:c>
      <x:c r="E71" s="11" t="str">
        <x:v>Adjust the sprayer straps so they fit securely.</x:v>
      </x:c>
      <x:c r="F71" s="8" t="str">
        <x:v>direct</x:v>
      </x:c>
      <x:c r="G71" s="8" t="str">
        <x:v>pass</x:v>
      </x:c>
      <x:c r="H71" s="8" t="str">
        <x:v>not_applicable</x:v>
      </x:c>
      <x:c r="I71" s="8" t="str">
        <x:v>pass</x:v>
      </x:c>
      <x:c r="J71" s="8" t="str">
        <x:v>pass</x:v>
      </x:c>
      <x:c r="K71" s="8" t="str">
        <x:v>pass</x:v>
      </x:c>
      <x:c r="L71" s="8" t="str">
        <x:v>pass</x:v>
      </x:c>
      <x:c r="M71" s="11" t="str"/>
      <x:c r="N71" s="8" t="str">
        <x:v>approved</x:v>
      </x:c>
      <x:c r="O71" s="8" t="str">
        <x:v>Methee</x:v>
      </x:c>
      <x:c r="P71" s="9" t="str">
        <x:v>⁠2026-07-29T00:00:00+07:00</x:v>
      </x:c>
      <x:c r="Q71" s="10" t="n">
        <x:v>1</x:v>
      </x:c>
      <x:c r="R71" s="8" t="str">
        <x:v>app_recommendations_v3</x:v>
      </x:c>
      <x:c r="S71" s="8" t="str">
        <x:v>2</x:v>
      </x:c>
    </x:row>
    <x:row r="72" ht="48" customHeight="1">
      <x:c r="A72" s="8" t="str">
        <x:v>act_extra_spray_switch.01</x:v>
      </x:c>
      <x:c r="B72" s="8" t="str">
        <x:v>act_extra_spray_switch</x:v>
      </x:c>
      <x:c r="C72" s="8" t="str">
        <x:v>recommendation</x:v>
      </x:c>
      <x:c r="D72" s="11" t="str">
        <x:v>สลับข้างสะพายถังเพื่อลดการกดทับไหล่เดียว</x:v>
      </x:c>
      <x:c r="E72" s="11" t="str">
        <x:v>Alternate the shoulder used to carry the tank to reduce pressure on one shoulder.</x:v>
      </x:c>
      <x:c r="F72" s="8" t="str">
        <x:v>direct</x:v>
      </x:c>
      <x:c r="G72" s="8" t="str">
        <x:v>pass</x:v>
      </x:c>
      <x:c r="H72" s="8" t="str">
        <x:v>not_applicable</x:v>
      </x:c>
      <x:c r="I72" s="8" t="str">
        <x:v>pass</x:v>
      </x:c>
      <x:c r="J72" s="8" t="str">
        <x:v>pass</x:v>
      </x:c>
      <x:c r="K72" s="8" t="str">
        <x:v>pass</x:v>
      </x:c>
      <x:c r="L72" s="8" t="str">
        <x:v>pass</x:v>
      </x:c>
      <x:c r="M72" s="11" t="str"/>
      <x:c r="N72" s="8" t="str">
        <x:v>approved</x:v>
      </x:c>
      <x:c r="O72" s="8" t="str">
        <x:v>Methee</x:v>
      </x:c>
      <x:c r="P72" s="9" t="str">
        <x:v>⁠2026-07-29T00:00:00+07:00</x:v>
      </x:c>
      <x:c r="Q72" s="10" t="n">
        <x:v>1</x:v>
      </x:c>
      <x:c r="R72" s="8" t="str">
        <x:v>app_recommendations_v3</x:v>
      </x:c>
      <x:c r="S72" s="8" t="str">
        <x:v>2</x:v>
      </x:c>
    </x:row>
    <x:row r="73" ht="48" customHeight="1">
      <x:c r="A73" s="8" t="str">
        <x:v>act_fert_ref_high.01</x:v>
      </x:c>
      <x:c r="B73" s="8" t="str">
        <x:v>act_fert_ref_high</x:v>
      </x:c>
      <x:c r="C73" s="8" t="str">
        <x:v>recommendation</x:v>
      </x:c>
      <x:c r="D73" s="11" t="str">
        <x:v>ลดน้ำหนักปุ๋ยต่อครั้ง</x:v>
      </x:c>
      <x:c r="E73" s="11" t="str">
        <x:v>Reduce fertilizer weight per trip.</x:v>
      </x:c>
      <x:c r="F73" s="8" t="str">
        <x:v>direct</x:v>
      </x:c>
      <x:c r="G73" s="8" t="str">
        <x:v>pass</x:v>
      </x:c>
      <x:c r="H73" s="8" t="str">
        <x:v>not_applicable</x:v>
      </x:c>
      <x:c r="I73" s="8" t="str">
        <x:v>pass</x:v>
      </x:c>
      <x:c r="J73" s="8" t="str">
        <x:v>pass</x:v>
      </x:c>
      <x:c r="K73" s="8" t="str">
        <x:v>pass</x:v>
      </x:c>
      <x:c r="L73" s="8" t="str">
        <x:v>pass</x:v>
      </x:c>
      <x:c r="M73" s="11" t="str"/>
      <x:c r="N73" s="8" t="str">
        <x:v>approved</x:v>
      </x:c>
      <x:c r="O73" s="8" t="str">
        <x:v>Methee</x:v>
      </x:c>
      <x:c r="P73" s="9" t="str">
        <x:v>⁠2026-07-29T00:00:00+07:00</x:v>
      </x:c>
      <x:c r="Q73" s="10" t="n">
        <x:v>1</x:v>
      </x:c>
      <x:c r="R73" s="8" t="str">
        <x:v>app_recommendations_v3</x:v>
      </x:c>
      <x:c r="S73" s="8" t="str">
        <x:v>2</x:v>
      </x:c>
    </x:row>
    <x:row r="74" ht="48" customHeight="1">
      <x:c r="A74" s="8" t="str">
        <x:v>act_fert_ref_high.02</x:v>
      </x:c>
      <x:c r="B74" s="8" t="str">
        <x:v>act_fert_ref_high</x:v>
      </x:c>
      <x:c r="C74" s="8" t="str">
        <x:v>recommendation</x:v>
      </x:c>
      <x:c r="D74" s="11" t="str">
        <x:v>ใช้สายพานหรือรถเข็น</x:v>
      </x:c>
      <x:c r="E74" s="11" t="str">
        <x:v>Use a conveyor or cart.</x:v>
      </x:c>
      <x:c r="F74" s="8" t="str">
        <x:v>direct</x:v>
      </x:c>
      <x:c r="G74" s="8" t="str">
        <x:v>pass</x:v>
      </x:c>
      <x:c r="H74" s="8" t="str">
        <x:v>not_applicable</x:v>
      </x:c>
      <x:c r="I74" s="8" t="str">
        <x:v>pass</x:v>
      </x:c>
      <x:c r="J74" s="8" t="str">
        <x:v>pass</x:v>
      </x:c>
      <x:c r="K74" s="8" t="str">
        <x:v>pass</x:v>
      </x:c>
      <x:c r="L74" s="8" t="str">
        <x:v>pass</x:v>
      </x:c>
      <x:c r="M74" s="11" t="str"/>
      <x:c r="N74" s="8" t="str">
        <x:v>approved</x:v>
      </x:c>
      <x:c r="O74" s="8" t="str">
        <x:v>Methee</x:v>
      </x:c>
      <x:c r="P74" s="9" t="str">
        <x:v>⁠2026-07-29T00:00:00+07:00</x:v>
      </x:c>
      <x:c r="Q74" s="10" t="n">
        <x:v>1</x:v>
      </x:c>
      <x:c r="R74" s="8" t="str">
        <x:v>app_recommendations_v3</x:v>
      </x:c>
      <x:c r="S74" s="8" t="str">
        <x:v>2</x:v>
      </x:c>
    </x:row>
    <x:row r="75" ht="48" customHeight="1">
      <x:c r="A75" s="8" t="str">
        <x:v>act_fert_ref_high.03</x:v>
      </x:c>
      <x:c r="B75" s="8" t="str">
        <x:v>act_fert_ref_high</x:v>
      </x:c>
      <x:c r="C75" s="8" t="str">
        <x:v>recommendation</x:v>
      </x:c>
      <x:c r="D75" s="11" t="str">
        <x:v>จัดพัก 10 นาทีทุกชั่วโมง</x:v>
      </x:c>
      <x:c r="E75" s="11" t="str">
        <x:v>Rest 10 minutes every hour.</x:v>
      </x:c>
      <x:c r="F75" s="8" t="str">
        <x:v>direct</x:v>
      </x:c>
      <x:c r="G75" s="8" t="str">
        <x:v>pass</x:v>
      </x:c>
      <x:c r="H75" s="8" t="str">
        <x:v>pass</x:v>
      </x:c>
      <x:c r="I75" s="8" t="str">
        <x:v>pass</x:v>
      </x:c>
      <x:c r="J75" s="8" t="str">
        <x:v>pass</x:v>
      </x:c>
      <x:c r="K75" s="8" t="str">
        <x:v>pass</x:v>
      </x:c>
      <x:c r="L75" s="8" t="str">
        <x:v>pass</x:v>
      </x:c>
      <x:c r="M75" s="11" t="str"/>
      <x:c r="N75" s="8" t="str">
        <x:v>approved</x:v>
      </x:c>
      <x:c r="O75" s="8" t="str">
        <x:v>Methee</x:v>
      </x:c>
      <x:c r="P75" s="9" t="str">
        <x:v>⁠2026-07-29T00:00:00+07:00</x:v>
      </x:c>
      <x:c r="Q75" s="10" t="n">
        <x:v>1</x:v>
      </x:c>
      <x:c r="R75" s="8" t="str">
        <x:v>app_recommendations_v3</x:v>
      </x:c>
      <x:c r="S75" s="8" t="str">
        <x:v>2</x:v>
      </x:c>
    </x:row>
    <x:row r="76" ht="48" customHeight="1">
      <x:c r="A76" s="8" t="str">
        <x:v>act_fert_ref_high.04</x:v>
      </x:c>
      <x:c r="B76" s="8" t="str">
        <x:v>act_fert_ref_high</x:v>
      </x:c>
      <x:c r="C76" s="8" t="str">
        <x:v>recommendation</x:v>
      </x:c>
      <x:c r="D76" s="11" t="str">
        <x:v>หลีกเลี่ยงการทำงานบนพื้นที่ลาดชันต่อเนื่อง</x:v>
      </x:c>
      <x:c r="E76" s="11" t="str">
        <x:v>Avoid continuous work on slopes.</x:v>
      </x:c>
      <x:c r="F76" s="8" t="str">
        <x:v>direct</x:v>
      </x:c>
      <x:c r="G76" s="8" t="str">
        <x:v>pass</x:v>
      </x:c>
      <x:c r="H76" s="8" t="str">
        <x:v>not_applicable</x:v>
      </x:c>
      <x:c r="I76" s="8" t="str">
        <x:v>pass</x:v>
      </x:c>
      <x:c r="J76" s="8" t="str">
        <x:v>pass</x:v>
      </x:c>
      <x:c r="K76" s="8" t="str">
        <x:v>pass</x:v>
      </x:c>
      <x:c r="L76" s="8" t="str">
        <x:v>pass</x:v>
      </x:c>
      <x:c r="M76" s="11" t="str"/>
      <x:c r="N76" s="8" t="str">
        <x:v>approved</x:v>
      </x:c>
      <x:c r="O76" s="8" t="str">
        <x:v>Methee</x:v>
      </x:c>
      <x:c r="P76" s="9" t="str">
        <x:v>⁠2026-07-29T00:00:00+07:00</x:v>
      </x:c>
      <x:c r="Q76" s="10" t="n">
        <x:v>1</x:v>
      </x:c>
      <x:c r="R76" s="8" t="str">
        <x:v>app_recommendations_v3</x:v>
      </x:c>
      <x:c r="S76" s="8" t="str">
        <x:v>2</x:v>
      </x:c>
    </x:row>
    <x:row r="77" ht="48" customHeight="1">
      <x:c r="A77" s="8" t="str">
        <x:v>act_fert_ref_low.01</x:v>
      </x:c>
      <x:c r="B77" s="8" t="str">
        <x:v>act_fert_ref_low</x:v>
      </x:c>
      <x:c r="C77" s="8" t="str">
        <x:v>recommendation</x:v>
      </x:c>
      <x:c r="D77" s="11" t="str">
        <x:v>ใช้รถเข็นถ้าต้องเคลื่อนย้ายปุ๋ยไกล และหมั่นเปลี่ยนท่าทางทุก 30 นาที</x:v>
      </x:c>
      <x:c r="E77" s="11" t="str">
        <x:v>Use a cart when fertilizer must be moved over a long distance, and change posture every 30 minutes.</x:v>
      </x:c>
      <x:c r="F77" s="8" t="str">
        <x:v>direct</x:v>
      </x:c>
      <x:c r="G77" s="8" t="str">
        <x:v>pass</x:v>
      </x:c>
      <x:c r="H77" s="8" t="str">
        <x:v>pass</x:v>
      </x:c>
      <x:c r="I77" s="8" t="str">
        <x:v>pass</x:v>
      </x:c>
      <x:c r="J77" s="8" t="str">
        <x:v>pass</x:v>
      </x:c>
      <x:c r="K77" s="8" t="str">
        <x:v>pass</x:v>
      </x:c>
      <x:c r="L77" s="8" t="str">
        <x:v>pass</x:v>
      </x:c>
      <x:c r="M77" s="11" t="str"/>
      <x:c r="N77" s="8" t="str">
        <x:v>approved</x:v>
      </x:c>
      <x:c r="O77" s="8" t="str">
        <x:v>Methee</x:v>
      </x:c>
      <x:c r="P77" s="9" t="str">
        <x:v>⁠2026-07-29T00:00:00+07:00</x:v>
      </x:c>
      <x:c r="Q77" s="10" t="n">
        <x:v>1</x:v>
      </x:c>
      <x:c r="R77" s="8" t="str">
        <x:v>app_recommendations_v3</x:v>
      </x:c>
      <x:c r="S77" s="8" t="str">
        <x:v>2</x:v>
      </x:c>
    </x:row>
    <x:row r="78" ht="48" customHeight="1">
      <x:c r="A78" s="8" t="str">
        <x:v>act_fert_ref_medium.01</x:v>
      </x:c>
      <x:c r="B78" s="8" t="str">
        <x:v>act_fert_ref_medium</x:v>
      </x:c>
      <x:c r="C78" s="8" t="str">
        <x:v>recommendation</x:v>
      </x:c>
      <x:c r="D78" s="11" t="str">
        <x:v>แบ่งปุ๋ยใส่ภาชนะเล็ก</x:v>
      </x:c>
      <x:c r="E78" s="11" t="str">
        <x:v>Split fertilizer into smaller containers.</x:v>
      </x:c>
      <x:c r="F78" s="8" t="str">
        <x:v>direct</x:v>
      </x:c>
      <x:c r="G78" s="8" t="str">
        <x:v>pass</x:v>
      </x:c>
      <x:c r="H78" s="8" t="str">
        <x:v>not_applicable</x:v>
      </x:c>
      <x:c r="I78" s="8" t="str">
        <x:v>pass</x:v>
      </x:c>
      <x:c r="J78" s="8" t="str">
        <x:v>pass</x:v>
      </x:c>
      <x:c r="K78" s="8" t="str">
        <x:v>pass</x:v>
      </x:c>
      <x:c r="L78" s="8" t="str">
        <x:v>pass</x:v>
      </x:c>
      <x:c r="M78" s="11" t="str"/>
      <x:c r="N78" s="8" t="str">
        <x:v>approved</x:v>
      </x:c>
      <x:c r="O78" s="8" t="str">
        <x:v>Methee</x:v>
      </x:c>
      <x:c r="P78" s="9" t="str">
        <x:v>⁠2026-07-29T00:00:00+07:00</x:v>
      </x:c>
      <x:c r="Q78" s="10" t="n">
        <x:v>1</x:v>
      </x:c>
      <x:c r="R78" s="8" t="str">
        <x:v>app_recommendations_v3</x:v>
      </x:c>
      <x:c r="S78" s="8" t="str">
        <x:v>2</x:v>
      </x:c>
    </x:row>
    <x:row r="79" ht="48" customHeight="1">
      <x:c r="A79" s="8" t="str">
        <x:v>act_fert_ref_medium.02</x:v>
      </x:c>
      <x:c r="B79" s="8" t="str">
        <x:v>act_fert_ref_medium</x:v>
      </x:c>
      <x:c r="C79" s="8" t="str">
        <x:v>recommendation</x:v>
      </x:c>
      <x:c r="D79" s="11" t="str">
        <x:v>ใช้รถเข็น</x:v>
      </x:c>
      <x:c r="E79" s="11" t="str">
        <x:v>Use a cart.</x:v>
      </x:c>
      <x:c r="F79" s="8" t="str">
        <x:v>direct</x:v>
      </x:c>
      <x:c r="G79" s="8" t="str">
        <x:v>pass</x:v>
      </x:c>
      <x:c r="H79" s="8" t="str">
        <x:v>not_applicable</x:v>
      </x:c>
      <x:c r="I79" s="8" t="str">
        <x:v>pass</x:v>
      </x:c>
      <x:c r="J79" s="8" t="str">
        <x:v>pass</x:v>
      </x:c>
      <x:c r="K79" s="8" t="str">
        <x:v>pass</x:v>
      </x:c>
      <x:c r="L79" s="8" t="str">
        <x:v>pass</x:v>
      </x:c>
      <x:c r="M79" s="11" t="str"/>
      <x:c r="N79" s="8" t="str">
        <x:v>approved</x:v>
      </x:c>
      <x:c r="O79" s="8" t="str">
        <x:v>Methee</x:v>
      </x:c>
      <x:c r="P79" s="9" t="str">
        <x:v>⁠2026-07-29T00:00:00+07:00</x:v>
      </x:c>
      <x:c r="Q79" s="10" t="n">
        <x:v>1</x:v>
      </x:c>
      <x:c r="R79" s="8" t="str">
        <x:v>app_recommendations_v3</x:v>
      </x:c>
      <x:c r="S79" s="8" t="str">
        <x:v>2</x:v>
      </x:c>
    </x:row>
    <x:row r="80" ht="48" customHeight="1">
      <x:c r="A80" s="8" t="str">
        <x:v>act_fert_ref_medium.03</x:v>
      </x:c>
      <x:c r="B80" s="8" t="str">
        <x:v>act_fert_ref_medium</x:v>
      </x:c>
      <x:c r="C80" s="8" t="str">
        <x:v>recommendation</x:v>
      </x:c>
      <x:c r="D80" s="11" t="str">
        <x:v>หลีกเลี่ยงการบิดตัวขณะยก และใส่รองเท้ากันลื่น</x:v>
      </x:c>
      <x:c r="E80" s="11" t="str">
        <x:v>Avoid twisting while lifting and wear non-slip footwear.</x:v>
      </x:c>
      <x:c r="F80" s="8" t="str">
        <x:v>direct</x:v>
      </x:c>
      <x:c r="G80" s="8" t="str">
        <x:v>pass</x:v>
      </x:c>
      <x:c r="H80" s="8" t="str">
        <x:v>not_applicable</x:v>
      </x:c>
      <x:c r="I80" s="8" t="str">
        <x:v>pass</x:v>
      </x:c>
      <x:c r="J80" s="8" t="str">
        <x:v>pass</x:v>
      </x:c>
      <x:c r="K80" s="8" t="str">
        <x:v>pass</x:v>
      </x:c>
      <x:c r="L80" s="8" t="str">
        <x:v>pass</x:v>
      </x:c>
      <x:c r="M80" s="11" t="str"/>
      <x:c r="N80" s="8" t="str">
        <x:v>approved</x:v>
      </x:c>
      <x:c r="O80" s="8" t="str">
        <x:v>Methee</x:v>
      </x:c>
      <x:c r="P80" s="9" t="str">
        <x:v>⁠2026-07-29T00:00:00+07:00</x:v>
      </x:c>
      <x:c r="Q80" s="10" t="n">
        <x:v>1</x:v>
      </x:c>
      <x:c r="R80" s="8" t="str">
        <x:v>app_recommendations_v3</x:v>
      </x:c>
      <x:c r="S80" s="8" t="str">
        <x:v>2</x:v>
      </x:c>
    </x:row>
    <x:row r="81" ht="48" customHeight="1">
      <x:c r="A81" s="8" t="str">
        <x:v>act_fert_split_load.01</x:v>
      </x:c>
      <x:c r="B81" s="8" t="str">
        <x:v>act_fert_split_load</x:v>
      </x:c>
      <x:c r="C81" s="8" t="str">
        <x:v>recommendation</x:v>
      </x:c>
      <x:c r="D81" s="11" t="str">
        <x:v>แบ่งปุ๋ยเป็นน้ำหนักน้อยลงในแต่ละรอบ</x:v>
      </x:c>
      <x:c r="E81" s="11" t="str">
        <x:v>Split fertilizer into smaller loads per round.</x:v>
      </x:c>
      <x:c r="F81" s="8" t="str">
        <x:v>direct</x:v>
      </x:c>
      <x:c r="G81" s="8" t="str">
        <x:v>pass</x:v>
      </x:c>
      <x:c r="H81" s="8" t="str">
        <x:v>not_applicable</x:v>
      </x:c>
      <x:c r="I81" s="8" t="str">
        <x:v>pass</x:v>
      </x:c>
      <x:c r="J81" s="8" t="str">
        <x:v>pass</x:v>
      </x:c>
      <x:c r="K81" s="8" t="str">
        <x:v>pass</x:v>
      </x:c>
      <x:c r="L81" s="8" t="str">
        <x:v>pass</x:v>
      </x:c>
      <x:c r="M81" s="11" t="str"/>
      <x:c r="N81" s="8" t="str">
        <x:v>approved</x:v>
      </x:c>
      <x:c r="O81" s="8" t="str">
        <x:v>Methee</x:v>
      </x:c>
      <x:c r="P81" s="9" t="str">
        <x:v>⁠2026-07-29T00:00:00+07:00</x:v>
      </x:c>
      <x:c r="Q81" s="10" t="n">
        <x:v>1</x:v>
      </x:c>
      <x:c r="R81" s="8" t="str">
        <x:v>app_recommendations_v3</x:v>
      </x:c>
      <x:c r="S81" s="8" t="str">
        <x:v>2</x:v>
      </x:c>
    </x:row>
    <x:row r="82" ht="48" customHeight="1">
      <x:c r="A82" s="8" t="str">
        <x:v>act_harvest_empty_often.01</x:v>
      </x:c>
      <x:c r="B82" s="8" t="str">
        <x:v>act_harvest_empty_often</x:v>
      </x:c>
      <x:c r="C82" s="8" t="str">
        <x:v>recommendation</x:v>
      </x:c>
      <x:c r="D82" s="11" t="str">
        <x:v>ลดการก้มโดยปรับความสูงตะกร้า</x:v>
      </x:c>
      <x:c r="E82" s="11" t="str">
        <x:v>Raise the basket to reduce bending.</x:v>
      </x:c>
      <x:c r="F82" s="8" t="str">
        <x:v>direct</x:v>
      </x:c>
      <x:c r="G82" s="8" t="str">
        <x:v>pass</x:v>
      </x:c>
      <x:c r="H82" s="8" t="str">
        <x:v>not_applicable</x:v>
      </x:c>
      <x:c r="I82" s="8" t="str">
        <x:v>pass</x:v>
      </x:c>
      <x:c r="J82" s="8" t="str">
        <x:v>pass</x:v>
      </x:c>
      <x:c r="K82" s="8" t="str">
        <x:v>pass</x:v>
      </x:c>
      <x:c r="L82" s="8" t="str">
        <x:v>pass</x:v>
      </x:c>
      <x:c r="M82" s="11" t="str"/>
      <x:c r="N82" s="8" t="str">
        <x:v>approved</x:v>
      </x:c>
      <x:c r="O82" s="8" t="str">
        <x:v>Methee</x:v>
      </x:c>
      <x:c r="P82" s="9" t="str">
        <x:v>⁠2026-07-29T00:00:00+07:00</x:v>
      </x:c>
      <x:c r="Q82" s="10" t="n">
        <x:v>1</x:v>
      </x:c>
      <x:c r="R82" s="8" t="str">
        <x:v>app_recommendations_v3</x:v>
      </x:c>
      <x:c r="S82" s="8" t="str">
        <x:v>2</x:v>
      </x:c>
    </x:row>
    <x:row r="83" ht="48" customHeight="1">
      <x:c r="A83" s="8" t="str">
        <x:v>act_harvest_move_closer.01</x:v>
      </x:c>
      <x:c r="B83" s="8" t="str">
        <x:v>act_harvest_move_closer</x:v>
      </x:c>
      <x:c r="C83" s="8" t="str">
        <x:v>recommendation</x:v>
      </x:c>
      <x:c r="D83" s="11" t="str">
        <x:v>ขยับเข้าใกล้ต้นก่อนเก็บ เพื่อลดการเอื้อมไกล</x:v>
      </x:c>
      <x:c r="E83" s="11" t="str">
        <x:v>Move closer to the plant before picking instead of overreaching.</x:v>
      </x:c>
      <x:c r="F83" s="8" t="str">
        <x:v>direct</x:v>
      </x:c>
      <x:c r="G83" s="8" t="str">
        <x:v>pass</x:v>
      </x:c>
      <x:c r="H83" s="8" t="str">
        <x:v>not_applicable</x:v>
      </x:c>
      <x:c r="I83" s="8" t="str">
        <x:v>pass</x:v>
      </x:c>
      <x:c r="J83" s="8" t="str">
        <x:v>pass</x:v>
      </x:c>
      <x:c r="K83" s="8" t="str">
        <x:v>pass</x:v>
      </x:c>
      <x:c r="L83" s="8" t="str">
        <x:v>pass</x:v>
      </x:c>
      <x:c r="M83" s="11" t="str"/>
      <x:c r="N83" s="8" t="str">
        <x:v>approved</x:v>
      </x:c>
      <x:c r="O83" s="8" t="str">
        <x:v>Methee</x:v>
      </x:c>
      <x:c r="P83" s="9" t="str">
        <x:v>⁠2026-07-29T00:00:00+07:00</x:v>
      </x:c>
      <x:c r="Q83" s="10" t="n">
        <x:v>1</x:v>
      </x:c>
      <x:c r="R83" s="8" t="str">
        <x:v>body_map_recommendations</x:v>
      </x:c>
      <x:c r="S83" s="8" t="str">
        <x:v>4</x:v>
      </x:c>
    </x:row>
    <x:row r="84" ht="48" customHeight="1">
      <x:c r="A84" s="8" t="str">
        <x:v>act_harvest_ref_high.01</x:v>
      </x:c>
      <x:c r="B84" s="8" t="str">
        <x:v>act_harvest_ref_high</x:v>
      </x:c>
      <x:c r="C84" s="8" t="str">
        <x:v>recommendation</x:v>
      </x:c>
      <x:c r="D84" s="11" t="str">
        <x:v>ถ้าเก็บผลจากกิ่งสูงต้องใช้บันได</x:v>
      </x:c>
      <x:c r="E84" s="11" t="str">
        <x:v>Use a ladder for high branches.</x:v>
      </x:c>
      <x:c r="F84" s="8" t="str">
        <x:v>direct</x:v>
      </x:c>
      <x:c r="G84" s="8" t="str">
        <x:v>pass</x:v>
      </x:c>
      <x:c r="H84" s="8" t="str">
        <x:v>not_applicable</x:v>
      </x:c>
      <x:c r="I84" s="8" t="str">
        <x:v>pass</x:v>
      </x:c>
      <x:c r="J84" s="8" t="str">
        <x:v>pass</x:v>
      </x:c>
      <x:c r="K84" s="8" t="str">
        <x:v>pass</x:v>
      </x:c>
      <x:c r="L84" s="8" t="str">
        <x:v>pass</x:v>
      </x:c>
      <x:c r="M84" s="11" t="str"/>
      <x:c r="N84" s="8" t="str">
        <x:v>approved</x:v>
      </x:c>
      <x:c r="O84" s="8" t="str">
        <x:v>Methee</x:v>
      </x:c>
      <x:c r="P84" s="9" t="str">
        <x:v>⁠2026-07-29T00:00:00+07:00</x:v>
      </x:c>
      <x:c r="Q84" s="10" t="n">
        <x:v>1</x:v>
      </x:c>
      <x:c r="R84" s="8" t="str">
        <x:v>app_recommendations_v3</x:v>
      </x:c>
      <x:c r="S84" s="8" t="str">
        <x:v>2</x:v>
      </x:c>
    </x:row>
    <x:row r="85" ht="48" customHeight="1">
      <x:c r="A85" s="8" t="str">
        <x:v>act_harvest_ref_high.02</x:v>
      </x:c>
      <x:c r="B85" s="8" t="str">
        <x:v>act_harvest_ref_high</x:v>
      </x:c>
      <x:c r="C85" s="8" t="str">
        <x:v>recommendation</x:v>
      </x:c>
      <x:c r="D85" s="11" t="str">
        <x:v>หลีกเลี่ยงการปีน</x:v>
      </x:c>
      <x:c r="E85" s="11" t="str">
        <x:v>Avoid climbing.</x:v>
      </x:c>
      <x:c r="F85" s="8" t="str">
        <x:v>direct</x:v>
      </x:c>
      <x:c r="G85" s="8" t="str">
        <x:v>pass</x:v>
      </x:c>
      <x:c r="H85" s="8" t="str">
        <x:v>not_applicable</x:v>
      </x:c>
      <x:c r="I85" s="8" t="str">
        <x:v>pass</x:v>
      </x:c>
      <x:c r="J85" s="8" t="str">
        <x:v>pass</x:v>
      </x:c>
      <x:c r="K85" s="8" t="str">
        <x:v>pass</x:v>
      </x:c>
      <x:c r="L85" s="8" t="str">
        <x:v>pass</x:v>
      </x:c>
      <x:c r="M85" s="11" t="str"/>
      <x:c r="N85" s="8" t="str">
        <x:v>approved</x:v>
      </x:c>
      <x:c r="O85" s="8" t="str">
        <x:v>Methee</x:v>
      </x:c>
      <x:c r="P85" s="9" t="str">
        <x:v>⁠2026-07-29T00:00:00+07:00</x:v>
      </x:c>
      <x:c r="Q85" s="10" t="n">
        <x:v>1</x:v>
      </x:c>
      <x:c r="R85" s="8" t="str">
        <x:v>app_recommendations_v3</x:v>
      </x:c>
      <x:c r="S85" s="8" t="str">
        <x:v>2</x:v>
      </x:c>
    </x:row>
    <x:row r="86" ht="48" customHeight="1">
      <x:c r="A86" s="8" t="str">
        <x:v>act_harvest_ref_high.03</x:v>
      </x:c>
      <x:c r="B86" s="8" t="str">
        <x:v>act_harvest_ref_high</x:v>
      </x:c>
      <x:c r="C86" s="8" t="str">
        <x:v>recommendation</x:v>
      </x:c>
      <x:c r="D86" s="11" t="str">
        <x:v>หยุดพัก 10 นาทีทุก 20 นาที</x:v>
      </x:c>
      <x:c r="E86" s="11" t="str">
        <x:v>Rest 10 minutes every 20 minutes.</x:v>
      </x:c>
      <x:c r="F86" s="8" t="str">
        <x:v>direct</x:v>
      </x:c>
      <x:c r="G86" s="8" t="str">
        <x:v>pass</x:v>
      </x:c>
      <x:c r="H86" s="8" t="str">
        <x:v>pass</x:v>
      </x:c>
      <x:c r="I86" s="8" t="str">
        <x:v>pass</x:v>
      </x:c>
      <x:c r="J86" s="8" t="str">
        <x:v>pass</x:v>
      </x:c>
      <x:c r="K86" s="8" t="str">
        <x:v>pass</x:v>
      </x:c>
      <x:c r="L86" s="8" t="str">
        <x:v>pass</x:v>
      </x:c>
      <x:c r="M86" s="11" t="str"/>
      <x:c r="N86" s="8" t="str">
        <x:v>approved</x:v>
      </x:c>
      <x:c r="O86" s="8" t="str">
        <x:v>Methee</x:v>
      </x:c>
      <x:c r="P86" s="9" t="str">
        <x:v>⁠2026-07-29T00:00:00+07:00</x:v>
      </x:c>
      <x:c r="Q86" s="10" t="n">
        <x:v>1</x:v>
      </x:c>
      <x:c r="R86" s="8" t="str">
        <x:v>app_recommendations_v3</x:v>
      </x:c>
      <x:c r="S86" s="8" t="str">
        <x:v>2</x:v>
      </x:c>
    </x:row>
    <x:row r="87" ht="48" customHeight="1">
      <x:c r="A87" s="8" t="str">
        <x:v>act_harvest_ref_high.04</x:v>
      </x:c>
      <x:c r="B87" s="8" t="str">
        <x:v>act_harvest_ref_high</x:v>
      </x:c>
      <x:c r="C87" s="8" t="str">
        <x:v>recommendation</x:v>
      </x:c>
      <x:c r="D87" s="11" t="str">
        <x:v>ถ้ามีอาการปวดมือหรือหลังให้หยุดงานทันที</x:v>
      </x:c>
      <x:c r="E87" s="11" t="str">
        <x:v>Stop immediately if hand or back pain occurs.</x:v>
      </x:c>
      <x:c r="F87" s="8" t="str">
        <x:v>direct</x:v>
      </x:c>
      <x:c r="G87" s="8" t="str">
        <x:v>pass</x:v>
      </x:c>
      <x:c r="H87" s="8" t="str">
        <x:v>not_applicable</x:v>
      </x:c>
      <x:c r="I87" s="8" t="str">
        <x:v>pass</x:v>
      </x:c>
      <x:c r="J87" s="8" t="str">
        <x:v>pass</x:v>
      </x:c>
      <x:c r="K87" s="8" t="str">
        <x:v>pass</x:v>
      </x:c>
      <x:c r="L87" s="8" t="str">
        <x:v>pass</x:v>
      </x:c>
      <x:c r="M87" s="11" t="str"/>
      <x:c r="N87" s="8" t="str">
        <x:v>approved</x:v>
      </x:c>
      <x:c r="O87" s="8" t="str">
        <x:v>Methee</x:v>
      </x:c>
      <x:c r="P87" s="9" t="str">
        <x:v>⁠2026-07-29T00:00:00+07:00</x:v>
      </x:c>
      <x:c r="Q87" s="10" t="n">
        <x:v>1</x:v>
      </x:c>
      <x:c r="R87" s="8" t="str">
        <x:v>app_recommendations_v3</x:v>
      </x:c>
      <x:c r="S87" s="8" t="str">
        <x:v>2</x:v>
      </x:c>
    </x:row>
    <x:row r="88" ht="48" customHeight="1">
      <x:c r="A88" s="8" t="str">
        <x:v>act_harvest_ref_low.01</x:v>
      </x:c>
      <x:c r="B88" s="8" t="str">
        <x:v>act_harvest_ref_low</x:v>
      </x:c>
      <x:c r="C88" s="8" t="str">
        <x:v>recommendation</x:v>
      </x:c>
      <x:c r="D88" s="11" t="str">
        <x:v>เปลี่ยนท่า ยืน-นั่งยอง ทุก 20 นาที</x:v>
      </x:c>
      <x:c r="E88" s="11" t="str">
        <x:v>Alternate between standing and squatting every 20 minutes.</x:v>
      </x:c>
      <x:c r="F88" s="8" t="str">
        <x:v>direct</x:v>
      </x:c>
      <x:c r="G88" s="8" t="str">
        <x:v>pass</x:v>
      </x:c>
      <x:c r="H88" s="8" t="str">
        <x:v>pass</x:v>
      </x:c>
      <x:c r="I88" s="8" t="str">
        <x:v>pass</x:v>
      </x:c>
      <x:c r="J88" s="8" t="str">
        <x:v>pass</x:v>
      </x:c>
      <x:c r="K88" s="8" t="str">
        <x:v>pass</x:v>
      </x:c>
      <x:c r="L88" s="8" t="str">
        <x:v>pass</x:v>
      </x:c>
      <x:c r="M88" s="11" t="str"/>
      <x:c r="N88" s="8" t="str">
        <x:v>approved</x:v>
      </x:c>
      <x:c r="O88" s="8" t="str">
        <x:v>Methee</x:v>
      </x:c>
      <x:c r="P88" s="9" t="str">
        <x:v>⁠2026-07-29T00:00:00+07:00</x:v>
      </x:c>
      <x:c r="Q88" s="10" t="n">
        <x:v>1</x:v>
      </x:c>
      <x:c r="R88" s="8" t="str">
        <x:v>app_recommendations_v3</x:v>
      </x:c>
      <x:c r="S88" s="8" t="str">
        <x:v>2</x:v>
      </x:c>
    </x:row>
    <x:row r="89" ht="48" customHeight="1">
      <x:c r="A89" s="8" t="str">
        <x:v>act_harvest_ref_low.02</x:v>
      </x:c>
      <x:c r="B89" s="8" t="str">
        <x:v>act_harvest_ref_low</x:v>
      </x:c>
      <x:c r="C89" s="8" t="str">
        <x:v>recommendation</x:v>
      </x:c>
      <x:c r="D89" s="11" t="str">
        <x:v>ใช้ถุงมือนุ่ม และตั้งตะกร้าบนแท่นสูง</x:v>
      </x:c>
      <x:c r="E89" s="11" t="str">
        <x:v>Use soft gloves and place the basket on a raised stand.</x:v>
      </x:c>
      <x:c r="F89" s="8" t="str">
        <x:v>direct</x:v>
      </x:c>
      <x:c r="G89" s="8" t="str">
        <x:v>pass</x:v>
      </x:c>
      <x:c r="H89" s="8" t="str">
        <x:v>not_applicable</x:v>
      </x:c>
      <x:c r="I89" s="8" t="str">
        <x:v>pass</x:v>
      </x:c>
      <x:c r="J89" s="8" t="str">
        <x:v>pass</x:v>
      </x:c>
      <x:c r="K89" s="8" t="str">
        <x:v>pass</x:v>
      </x:c>
      <x:c r="L89" s="8" t="str">
        <x:v>pass</x:v>
      </x:c>
      <x:c r="M89" s="11" t="str"/>
      <x:c r="N89" s="8" t="str">
        <x:v>approved</x:v>
      </x:c>
      <x:c r="O89" s="8" t="str">
        <x:v>Methee</x:v>
      </x:c>
      <x:c r="P89" s="9" t="str">
        <x:v>⁠2026-07-29T00:00:00+07:00</x:v>
      </x:c>
      <x:c r="Q89" s="10" t="n">
        <x:v>1</x:v>
      </x:c>
      <x:c r="R89" s="8" t="str">
        <x:v>app_recommendations_v3</x:v>
      </x:c>
      <x:c r="S89" s="8" t="str">
        <x:v>2</x:v>
      </x:c>
    </x:row>
    <x:row r="90" ht="48" customHeight="1">
      <x:c r="A90" s="8" t="str">
        <x:v>act_harvest_ref_medium.01</x:v>
      </x:c>
      <x:c r="B90" s="8" t="str">
        <x:v>act_harvest_ref_medium</x:v>
      </x:c>
      <x:c r="C90" s="8" t="str">
        <x:v>recommendation</x:v>
      </x:c>
      <x:c r="D90" s="11" t="str">
        <x:v>ใช้ถุงมือลดแรงกด</x:v>
      </x:c>
      <x:c r="E90" s="11" t="str">
        <x:v>Use padded gloves.</x:v>
      </x:c>
      <x:c r="F90" s="8" t="str">
        <x:v>direct</x:v>
      </x:c>
      <x:c r="G90" s="8" t="str">
        <x:v>pass</x:v>
      </x:c>
      <x:c r="H90" s="8" t="str">
        <x:v>not_applicable</x:v>
      </x:c>
      <x:c r="I90" s="8" t="str">
        <x:v>pass</x:v>
      </x:c>
      <x:c r="J90" s="8" t="str">
        <x:v>pass</x:v>
      </x:c>
      <x:c r="K90" s="8" t="str">
        <x:v>pass</x:v>
      </x:c>
      <x:c r="L90" s="8" t="str">
        <x:v>pass</x:v>
      </x:c>
      <x:c r="M90" s="11" t="str"/>
      <x:c r="N90" s="8" t="str">
        <x:v>approved</x:v>
      </x:c>
      <x:c r="O90" s="8" t="str">
        <x:v>Methee</x:v>
      </x:c>
      <x:c r="P90" s="9" t="str">
        <x:v>⁠2026-07-29T00:00:00+07:00</x:v>
      </x:c>
      <x:c r="Q90" s="10" t="n">
        <x:v>1</x:v>
      </x:c>
      <x:c r="R90" s="8" t="str">
        <x:v>app_recommendations_v3</x:v>
      </x:c>
      <x:c r="S90" s="8" t="str">
        <x:v>2</x:v>
      </x:c>
    </x:row>
    <x:row r="91" ht="48" customHeight="1">
      <x:c r="A91" s="8" t="str">
        <x:v>act_harvest_ref_medium.02</x:v>
      </x:c>
      <x:c r="B91" s="8" t="str">
        <x:v>act_harvest_ref_medium</x:v>
      </x:c>
      <x:c r="C91" s="8" t="str">
        <x:v>recommendation</x:v>
      </x:c>
      <x:c r="D91" s="11" t="str">
        <x:v>ลดการก้มโดยปรับความสูงตะกร้า</x:v>
      </x:c>
      <x:c r="E91" s="11" t="str">
        <x:v>Reduce bending by raising the basket.</x:v>
      </x:c>
      <x:c r="F91" s="8" t="str">
        <x:v>direct</x:v>
      </x:c>
      <x:c r="G91" s="8" t="str">
        <x:v>pass</x:v>
      </x:c>
      <x:c r="H91" s="8" t="str">
        <x:v>not_applicable</x:v>
      </x:c>
      <x:c r="I91" s="8" t="str">
        <x:v>pass</x:v>
      </x:c>
      <x:c r="J91" s="8" t="str">
        <x:v>pass</x:v>
      </x:c>
      <x:c r="K91" s="8" t="str">
        <x:v>pass</x:v>
      </x:c>
      <x:c r="L91" s="8" t="str">
        <x:v>pass</x:v>
      </x:c>
      <x:c r="M91" s="11" t="str"/>
      <x:c r="N91" s="8" t="str">
        <x:v>approved</x:v>
      </x:c>
      <x:c r="O91" s="8" t="str">
        <x:v>Methee</x:v>
      </x:c>
      <x:c r="P91" s="9" t="str">
        <x:v>⁠2026-07-29T00:00:00+07:00</x:v>
      </x:c>
      <x:c r="Q91" s="10" t="n">
        <x:v>1</x:v>
      </x:c>
      <x:c r="R91" s="8" t="str">
        <x:v>app_recommendations_v3</x:v>
      </x:c>
      <x:c r="S91" s="8" t="str">
        <x:v>2</x:v>
      </x:c>
    </x:row>
    <x:row r="92" ht="48" customHeight="1">
      <x:c r="A92" s="8" t="str">
        <x:v>act_harvest_ref_medium.03</x:v>
      </x:c>
      <x:c r="B92" s="8" t="str">
        <x:v>act_harvest_ref_medium</x:v>
      </x:c>
      <x:c r="C92" s="8" t="str">
        <x:v>recommendation</x:v>
      </x:c>
      <x:c r="D92" s="11" t="str">
        <x:v>พัก 5 นาทีทุก 30 นาที</x:v>
      </x:c>
      <x:c r="E92" s="11" t="str">
        <x:v>Rest 5 minutes every 30 minutes.</x:v>
      </x:c>
      <x:c r="F92" s="8" t="str">
        <x:v>direct</x:v>
      </x:c>
      <x:c r="G92" s="8" t="str">
        <x:v>pass</x:v>
      </x:c>
      <x:c r="H92" s="8" t="str">
        <x:v>pass</x:v>
      </x:c>
      <x:c r="I92" s="8" t="str">
        <x:v>pass</x:v>
      </x:c>
      <x:c r="J92" s="8" t="str">
        <x:v>pass</x:v>
      </x:c>
      <x:c r="K92" s="8" t="str">
        <x:v>pass</x:v>
      </x:c>
      <x:c r="L92" s="8" t="str">
        <x:v>pass</x:v>
      </x:c>
      <x:c r="M92" s="11" t="str"/>
      <x:c r="N92" s="8" t="str">
        <x:v>approved</x:v>
      </x:c>
      <x:c r="O92" s="8" t="str">
        <x:v>Methee</x:v>
      </x:c>
      <x:c r="P92" s="9" t="str">
        <x:v>⁠2026-07-29T00:00:00+07:00</x:v>
      </x:c>
      <x:c r="Q92" s="10" t="n">
        <x:v>1</x:v>
      </x:c>
      <x:c r="R92" s="8" t="str">
        <x:v>app_recommendations_v3</x:v>
      </x:c>
      <x:c r="S92" s="8" t="str">
        <x:v>2</x:v>
      </x:c>
    </x:row>
    <x:row r="93" ht="48" customHeight="1">
      <x:c r="A93" s="8" t="str">
        <x:v>act_harvest_ref_medium.04</x:v>
      </x:c>
      <x:c r="B93" s="8" t="str">
        <x:v>act_harvest_ref_medium</x:v>
      </x:c>
      <x:c r="C93" s="8" t="str">
        <x:v>recommendation</x:v>
      </x:c>
      <x:c r="D93" s="11" t="str">
        <x:v>สังเกตอาการชาที่มือ</x:v>
      </x:c>
      <x:c r="E93" s="11" t="str">
        <x:v>Watch for hand numbness.</x:v>
      </x:c>
      <x:c r="F93" s="8" t="str">
        <x:v>direct</x:v>
      </x:c>
      <x:c r="G93" s="8" t="str">
        <x:v>pass</x:v>
      </x:c>
      <x:c r="H93" s="8" t="str">
        <x:v>not_applicable</x:v>
      </x:c>
      <x:c r="I93" s="8" t="str">
        <x:v>pass</x:v>
      </x:c>
      <x:c r="J93" s="8" t="str">
        <x:v>pass</x:v>
      </x:c>
      <x:c r="K93" s="8" t="str">
        <x:v>pass</x:v>
      </x:c>
      <x:c r="L93" s="8" t="str">
        <x:v>pass</x:v>
      </x:c>
      <x:c r="M93" s="11" t="str"/>
      <x:c r="N93" s="8" t="str">
        <x:v>approved</x:v>
      </x:c>
      <x:c r="O93" s="8" t="str">
        <x:v>Methee</x:v>
      </x:c>
      <x:c r="P93" s="9" t="str">
        <x:v>⁠2026-07-29T00:00:00+07:00</x:v>
      </x:c>
      <x:c r="Q93" s="10" t="n">
        <x:v>1</x:v>
      </x:c>
      <x:c r="R93" s="8" t="str">
        <x:v>app_recommendations_v3</x:v>
      </x:c>
      <x:c r="S93" s="8" t="str">
        <x:v>2</x:v>
      </x:c>
    </x:row>
    <x:row r="94" ht="48" customHeight="1">
      <x:c r="A94" s="8" t="str">
        <x:v>act_iso_floor_level.01</x:v>
      </x:c>
      <x:c r="B94" s="8" t="str">
        <x:v>act_iso_floor_level</x:v>
      </x:c>
      <x:c r="C94" s="8" t="str">
        <x:v>recommendation</x:v>
      </x:c>
      <x:c r="D94" s="11" t="str">
        <x:v>จัดพื้นทางเดินให้เรียบ แห้ง ไม่ลื่น และไม่มีสิ่งกีดขวาง</x:v>
      </x:c>
      <x:c r="E94" s="11" t="str">
        <x:v>Keep the transport surface level, dry, non-slip, and clear of obstacles.</x:v>
      </x:c>
      <x:c r="F94" s="8" t="str">
        <x:v>direct</x:v>
      </x:c>
      <x:c r="G94" s="8" t="str">
        <x:v>pass</x:v>
      </x:c>
      <x:c r="H94" s="8" t="str">
        <x:v>not_applicable</x:v>
      </x:c>
      <x:c r="I94" s="8" t="str">
        <x:v>pass</x:v>
      </x:c>
      <x:c r="J94" s="8" t="str">
        <x:v>pass</x:v>
      </x:c>
      <x:c r="K94" s="8" t="str">
        <x:v>pass</x:v>
      </x:c>
      <x:c r="L94" s="8" t="str">
        <x:v>pass</x:v>
      </x:c>
      <x:c r="M94" s="11" t="str"/>
      <x:c r="N94" s="8" t="str">
        <x:v>approved</x:v>
      </x:c>
      <x:c r="O94" s="8" t="str">
        <x:v>Methee</x:v>
      </x:c>
      <x:c r="P94" s="9" t="str">
        <x:v>⁠2026-07-29T00:00:00+07:00</x:v>
      </x:c>
      <x:c r="Q94" s="10" t="n">
        <x:v>1</x:v>
      </x:c>
      <x:c r="R94" s="8" t="str">
        <x:v>ilo_ergonomic_checkpoints_agriculture</x:v>
      </x:c>
      <x:c r="S94" s="8" t="str">
        <x:v>29,31</x:v>
      </x:c>
    </x:row>
    <x:row r="95" ht="48" customHeight="1">
      <x:c r="A95" s="8" t="str">
        <x:v>act_iso_improve_grip.01</x:v>
      </x:c>
      <x:c r="B95" s="8" t="str">
        <x:v>act_iso_improve_grip</x:v>
      </x:c>
      <x:c r="C95" s="8" t="str">
        <x:v>recommendation</x:v>
      </x:c>
      <x:c r="D95" s="11" t="str">
        <x:v>ใช้ภาชนะหรือด้ามจับที่จับได้ถนัดและมั่นคง</x:v>
      </x:c>
      <x:c r="E95" s="11" t="str">
        <x:v>Use containers or handles that are easy to grip securely.</x:v>
      </x:c>
      <x:c r="F95" s="8" t="str">
        <x:v>direct</x:v>
      </x:c>
      <x:c r="G95" s="8" t="str">
        <x:v>pass</x:v>
      </x:c>
      <x:c r="H95" s="8" t="str">
        <x:v>not_applicable</x:v>
      </x:c>
      <x:c r="I95" s="8" t="str">
        <x:v>pass</x:v>
      </x:c>
      <x:c r="J95" s="8" t="str">
        <x:v>pass</x:v>
      </x:c>
      <x:c r="K95" s="8" t="str">
        <x:v>pass</x:v>
      </x:c>
      <x:c r="L95" s="8" t="str">
        <x:v>pass</x:v>
      </x:c>
      <x:c r="M95" s="11" t="str"/>
      <x:c r="N95" s="8" t="str">
        <x:v>approved</x:v>
      </x:c>
      <x:c r="O95" s="8" t="str">
        <x:v>Methee</x:v>
      </x:c>
      <x:c r="P95" s="9" t="str">
        <x:v>⁠2026-07-29T00:00:00+07:00</x:v>
      </x:c>
      <x:c r="Q95" s="10" t="n">
        <x:v>1</x:v>
      </x:c>
      <x:c r="R95" s="8" t="str">
        <x:v>ilo_ergonomic_checkpoints_agriculture</x:v>
      </x:c>
      <x:c r="S95" s="8" t="str">
        <x:v>79</x:v>
      </x:c>
    </x:row>
    <x:row r="96" ht="48" customHeight="1">
      <x:c r="A96" s="8" t="str">
        <x:v>act_iso_job_rotation.01</x:v>
      </x:c>
      <x:c r="B96" s="8" t="str">
        <x:v>act_iso_job_rotation</x:v>
      </x:c>
      <x:c r="C96" s="8" t="str">
        <x:v>recommendation</x:v>
      </x:c>
      <x:c r="D96" s="11" t="str">
        <x:v>สลับงานเพื่อลดการใช้กล้ามเนื้อกลุ่มเดิมต่อเนื่องนานเกินไป</x:v>
      </x:c>
      <x:c r="E96" s="11" t="str">
        <x:v>Rotate tasks so the same muscles are not used continuously.</x:v>
      </x:c>
      <x:c r="F96" s="8" t="str">
        <x:v>direct</x:v>
      </x:c>
      <x:c r="G96" s="8" t="str">
        <x:v>pass</x:v>
      </x:c>
      <x:c r="H96" s="8" t="str">
        <x:v>not_applicable</x:v>
      </x:c>
      <x:c r="I96" s="8" t="str">
        <x:v>pass</x:v>
      </x:c>
      <x:c r="J96" s="8" t="str">
        <x:v>pass</x:v>
      </x:c>
      <x:c r="K96" s="8" t="str">
        <x:v>pass</x:v>
      </x:c>
      <x:c r="L96" s="8" t="str">
        <x:v>pass</x:v>
      </x:c>
      <x:c r="M96" s="11" t="str"/>
      <x:c r="N96" s="8" t="str">
        <x:v>approved</x:v>
      </x:c>
      <x:c r="O96" s="8" t="str">
        <x:v>Methee</x:v>
      </x:c>
      <x:c r="P96" s="9" t="str">
        <x:v>⁠2026-07-29T00:00:00+07:00</x:v>
      </x:c>
      <x:c r="Q96" s="10" t="n">
        <x:v>1</x:v>
      </x:c>
      <x:c r="R96" s="8" t="str">
        <x:v>ilo_ergonomic_checkpoints_agriculture</x:v>
      </x:c>
      <x:c r="S96" s="8" t="str">
        <x:v>229</x:v>
      </x:c>
    </x:row>
    <x:row r="97" ht="48" customHeight="1">
      <x:c r="A97" s="8" t="str">
        <x:v>act_iso_keep_load_close.01</x:v>
      </x:c>
      <x:c r="B97" s="8" t="str">
        <x:v>act_iso_keep_load_close</x:v>
      </x:c>
      <x:c r="C97" s="8" t="str">
        <x:v>recommendation</x:v>
      </x:c>
      <x:c r="D97" s="11" t="str">
        <x:v>วางของให้ชิดลำตัวก่อนยกหรือขนย้าย</x:v>
      </x:c>
      <x:c r="E97" s="11" t="str">
        <x:v>Keep the load close to the body before lifting or carrying.</x:v>
      </x:c>
      <x:c r="F97" s="8" t="str">
        <x:v>direct</x:v>
      </x:c>
      <x:c r="G97" s="8" t="str">
        <x:v>pass</x:v>
      </x:c>
      <x:c r="H97" s="8" t="str">
        <x:v>not_applicable</x:v>
      </x:c>
      <x:c r="I97" s="8" t="str">
        <x:v>pass</x:v>
      </x:c>
      <x:c r="J97" s="8" t="str">
        <x:v>pass</x:v>
      </x:c>
      <x:c r="K97" s="8" t="str">
        <x:v>pass</x:v>
      </x:c>
      <x:c r="L97" s="8" t="str">
        <x:v>pass</x:v>
      </x:c>
      <x:c r="M97" s="11" t="str"/>
      <x:c r="N97" s="8" t="str">
        <x:v>approved</x:v>
      </x:c>
      <x:c r="O97" s="8" t="str">
        <x:v>Methee</x:v>
      </x:c>
      <x:c r="P97" s="9" t="str">
        <x:v>⁠2026-07-29T00:00:00+07:00</x:v>
      </x:c>
      <x:c r="Q97" s="10" t="n">
        <x:v>1</x:v>
      </x:c>
      <x:c r="R97" s="8" t="str">
        <x:v>ilo_ergonomic_checkpoints_agriculture</x:v>
      </x:c>
      <x:c r="S97" s="8" t="str">
        <x:v>51</x:v>
      </x:c>
    </x:row>
    <x:row r="98" ht="48" customHeight="1">
      <x:c r="A98" s="8" t="str">
        <x:v>act_iso_lift_height.01</x:v>
      </x:c>
      <x:c r="B98" s="8" t="str">
        <x:v>act_iso_lift_height</x:v>
      </x:c>
      <x:c r="C98" s="8" t="str">
        <x:v>recommendation</x:v>
      </x:c>
      <x:c r="D98" s="11" t="str">
        <x:v>จัดของให้อยู่ระดับประมาณข้อนิ้วถึงข้อศอกก่อนยก</x:v>
      </x:c>
      <x:c r="E98" s="11" t="str">
        <x:v>Place the load around knuckle-to-elbow height before lifting.</x:v>
      </x:c>
      <x:c r="F98" s="8" t="str">
        <x:v>direct</x:v>
      </x:c>
      <x:c r="G98" s="8" t="str">
        <x:v>pass</x:v>
      </x:c>
      <x:c r="H98" s="8" t="str">
        <x:v>not_applicable</x:v>
      </x:c>
      <x:c r="I98" s="8" t="str">
        <x:v>pass</x:v>
      </x:c>
      <x:c r="J98" s="8" t="str">
        <x:v>pass</x:v>
      </x:c>
      <x:c r="K98" s="8" t="str">
        <x:v>pass</x:v>
      </x:c>
      <x:c r="L98" s="8" t="str">
        <x:v>pass</x:v>
      </x:c>
      <x:c r="M98" s="11" t="str"/>
      <x:c r="N98" s="8" t="str">
        <x:v>approved</x:v>
      </x:c>
      <x:c r="O98" s="8" t="str">
        <x:v>Methee</x:v>
      </x:c>
      <x:c r="P98" s="9" t="str">
        <x:v>⁠2026-07-29T00:00:00+07:00</x:v>
      </x:c>
      <x:c r="Q98" s="10" t="n">
        <x:v>1</x:v>
      </x:c>
      <x:c r="R98" s="8" t="str">
        <x:v>app_recommendations_v3</x:v>
      </x:c>
      <x:c r="S98" s="8" t="str">
        <x:v>4</x:v>
      </x:c>
    </x:row>
    <x:row r="99" ht="48" customHeight="1">
      <x:c r="A99" s="8" t="str">
        <x:v>act_iso_neutral_reach.01</x:v>
      </x:c>
      <x:c r="B99" s="8" t="str">
        <x:v>act_iso_neutral_reach</x:v>
      </x:c>
      <x:c r="C99" s="8" t="str">
        <x:v>recommendation</x:v>
      </x:c>
      <x:c r="D99" s="11" t="str">
        <x:v>ทำงานใกล้ลำตัว</x:v>
      </x:c>
      <x:c r="E99" s="11" t="str">
        <x:v>Keep hands near the body.</x:v>
      </x:c>
      <x:c r="F99" s="8" t="str">
        <x:v>direct</x:v>
      </x:c>
      <x:c r="G99" s="8" t="str">
        <x:v>pass</x:v>
      </x:c>
      <x:c r="H99" s="8" t="str">
        <x:v>not_applicable</x:v>
      </x:c>
      <x:c r="I99" s="8" t="str">
        <x:v>pass</x:v>
      </x:c>
      <x:c r="J99" s="8" t="str">
        <x:v>pass</x:v>
      </x:c>
      <x:c r="K99" s="8" t="str">
        <x:v>pass</x:v>
      </x:c>
      <x:c r="L99" s="8" t="str">
        <x:v>pass</x:v>
      </x:c>
      <x:c r="M99" s="11" t="str"/>
      <x:c r="N99" s="8" t="str">
        <x:v>approved</x:v>
      </x:c>
      <x:c r="O99" s="8" t="str">
        <x:v>Methee</x:v>
      </x:c>
      <x:c r="P99" s="9" t="str">
        <x:v>⁠2026-07-29T00:00:00+07:00</x:v>
      </x:c>
      <x:c r="Q99" s="10" t="n">
        <x:v>1</x:v>
      </x:c>
      <x:c r="R99" s="8" t="str">
        <x:v>ilo_ergonomic_checkpoints_agriculture</x:v>
      </x:c>
      <x:c r="S99" s="8" t="str">
        <x:v>51,65</x:v>
      </x:c>
    </x:row>
    <x:row r="100" ht="48" customHeight="1">
      <x:c r="A100" s="8" t="str">
        <x:v>act_iso_neutral_reach.02</x:v>
      </x:c>
      <x:c r="B100" s="8" t="str">
        <x:v>act_iso_neutral_reach</x:v>
      </x:c>
      <x:c r="C100" s="8" t="str">
        <x:v>recommendation</x:v>
      </x:c>
      <x:c r="D100" s="11" t="str">
        <x:v>ลดการเอื้อมไกลหรือขยับข้อไปสุดช่วง</x:v>
      </x:c>
      <x:c r="E100" s="11" t="str">
        <x:v>Avoid extreme reach or joint positions.</x:v>
      </x:c>
      <x:c r="F100" s="8" t="str">
        <x:v>direct</x:v>
      </x:c>
      <x:c r="G100" s="8" t="str">
        <x:v>pass</x:v>
      </x:c>
      <x:c r="H100" s="8" t="str">
        <x:v>not_applicable</x:v>
      </x:c>
      <x:c r="I100" s="8" t="str">
        <x:v>pass</x:v>
      </x:c>
      <x:c r="J100" s="8" t="str">
        <x:v>pass</x:v>
      </x:c>
      <x:c r="K100" s="8" t="str">
        <x:v>pass</x:v>
      </x:c>
      <x:c r="L100" s="8" t="str">
        <x:v>pass</x:v>
      </x:c>
      <x:c r="M100" s="11" t="str"/>
      <x:c r="N100" s="8" t="str">
        <x:v>approved</x:v>
      </x:c>
      <x:c r="O100" s="8" t="str">
        <x:v>Methee</x:v>
      </x:c>
      <x:c r="P100" s="9" t="str">
        <x:v>⁠2026-07-29T00:00:00+07:00</x:v>
      </x:c>
      <x:c r="Q100" s="10" t="n">
        <x:v>1</x:v>
      </x:c>
      <x:c r="R100" s="8" t="str">
        <x:v>ilo_ergonomic_checkpoints_agriculture</x:v>
      </x:c>
      <x:c r="S100" s="8" t="str">
        <x:v>51,65</x:v>
      </x:c>
    </x:row>
    <x:row r="101" ht="48" customHeight="1">
      <x:c r="A101" s="8" t="str">
        <x:v>act_iso_plan_recovery.01</x:v>
      </x:c>
      <x:c r="B101" s="8" t="str">
        <x:v>act_iso_plan_recovery</x:v>
      </x:c>
      <x:c r="C101" s="8" t="str">
        <x:v>recommendation</x:v>
      </x:c>
      <x:c r="D101" s="11" t="str">
        <x:v>วางแผนพักสั้น ๆ หรือสลับงานเมื่อต้องทำซ้ำหลายรอบ</x:v>
      </x:c>
      <x:c r="E101" s="11" t="str">
        <x:v>Plan short recovery breaks or rotate tasks during repeated work.</x:v>
      </x:c>
      <x:c r="F101" s="8" t="str">
        <x:v>direct</x:v>
      </x:c>
      <x:c r="G101" s="8" t="str">
        <x:v>pass</x:v>
      </x:c>
      <x:c r="H101" s="8" t="str">
        <x:v>not_applicable</x:v>
      </x:c>
      <x:c r="I101" s="8" t="str">
        <x:v>pass</x:v>
      </x:c>
      <x:c r="J101" s="8" t="str">
        <x:v>pass</x:v>
      </x:c>
      <x:c r="K101" s="8" t="str">
        <x:v>pass</x:v>
      </x:c>
      <x:c r="L101" s="8" t="str">
        <x:v>pass</x:v>
      </x:c>
      <x:c r="M101" s="11" t="str"/>
      <x:c r="N101" s="8" t="str">
        <x:v>approved</x:v>
      </x:c>
      <x:c r="O101" s="8" t="str">
        <x:v>Methee</x:v>
      </x:c>
      <x:c r="P101" s="9" t="str">
        <x:v>⁠2026-07-29T00:00:00+07:00</x:v>
      </x:c>
      <x:c r="Q101" s="10" t="n">
        <x:v>1</x:v>
      </x:c>
      <x:c r="R101" s="8" t="str">
        <x:v>ilo_ergonomic_checkpoints_agriculture</x:v>
      </x:c>
      <x:c r="S101" s="8" t="str">
        <x:v>243</x:v>
      </x:c>
    </x:row>
    <x:row r="102" ht="48" customHeight="1">
      <x:c r="A102" s="8" t="str">
        <x:v>act_iso_push_handle_height.01</x:v>
      </x:c>
      <x:c r="B102" s="8" t="str">
        <x:v>act_iso_push_handle_height</x:v>
      </x:c>
      <x:c r="C102" s="8" t="str">
        <x:v>recommendation</x:v>
      </x:c>
      <x:c r="D102" s="11" t="str">
        <x:v>ปรับด้ามจับให้อยู่ใกล้ระดับข้อศอก เพื่อใช้แรงได้มั่นคง</x:v>
      </x:c>
      <x:c r="E102" s="11" t="str">
        <x:v>Adjust handles near elbow height so the body can push steadily.</x:v>
      </x:c>
      <x:c r="F102" s="8" t="str">
        <x:v>direct</x:v>
      </x:c>
      <x:c r="G102" s="8" t="str">
        <x:v>pass</x:v>
      </x:c>
      <x:c r="H102" s="8" t="str">
        <x:v>not_applicable</x:v>
      </x:c>
      <x:c r="I102" s="8" t="str">
        <x:v>pass</x:v>
      </x:c>
      <x:c r="J102" s="8" t="str">
        <x:v>pass</x:v>
      </x:c>
      <x:c r="K102" s="8" t="str">
        <x:v>pass</x:v>
      </x:c>
      <x:c r="L102" s="8" t="str">
        <x:v>pass</x:v>
      </x:c>
      <x:c r="M102" s="11" t="str"/>
      <x:c r="N102" s="8" t="str">
        <x:v>approved</x:v>
      </x:c>
      <x:c r="O102" s="8" t="str">
        <x:v>Methee</x:v>
      </x:c>
      <x:c r="P102" s="9" t="str">
        <x:v>⁠2026-07-29T00:00:00+07:00</x:v>
      </x:c>
      <x:c r="Q102" s="10" t="n">
        <x:v>1</x:v>
      </x:c>
      <x:c r="R102" s="8" t="str">
        <x:v>ilo_ergonomic_checkpoints_agriculture</x:v>
      </x:c>
      <x:c r="S102" s="8" t="str">
        <x:v>63</x:v>
      </x:c>
    </x:row>
    <x:row r="103" ht="48" customHeight="1">
      <x:c r="A103" s="8" t="str">
        <x:v>act_iso_push_not_pull.01</x:v>
      </x:c>
      <x:c r="B103" s="8" t="str">
        <x:v>act_iso_push_not_pull</x:v>
      </x:c>
      <x:c r="C103" s="8" t="str">
        <x:v>recommendation</x:v>
      </x:c>
      <x:c r="D103" s="11" t="str">
        <x:v>ถ้าทำได้ให้ดันโดยใช้น้ำหนักตัว แทนการลากด้วยแรงแขน</x:v>
      </x:c>
      <x:c r="E103" s="11" t="str">
        <x:v>Push with body weight when possible instead of pulling with the arms.</x:v>
      </x:c>
      <x:c r="F103" s="8" t="str">
        <x:v>plain_english</x:v>
      </x:c>
      <x:c r="G103" s="8" t="str">
        <x:v>pass</x:v>
      </x:c>
      <x:c r="H103" s="8" t="str">
        <x:v>not_applicable</x:v>
      </x:c>
      <x:c r="I103" s="8" t="str">
        <x:v>pass</x:v>
      </x:c>
      <x:c r="J103" s="8" t="str">
        <x:v>pass</x:v>
      </x:c>
      <x:c r="K103" s="8" t="str">
        <x:v>pass</x:v>
      </x:c>
      <x:c r="L103" s="8" t="str">
        <x:v>pass</x:v>
      </x:c>
      <x:c r="M103" s="11" t="str"/>
      <x:c r="N103" s="8" t="str">
        <x:v>approved</x:v>
      </x:c>
      <x:c r="O103" s="8" t="str">
        <x:v>Methee</x:v>
      </x:c>
      <x:c r="P103" s="9" t="str">
        <x:v>⁠2026-07-29T00:00:00+07:00</x:v>
      </x:c>
      <x:c r="Q103" s="10" t="n">
        <x:v>1</x:v>
      </x:c>
      <x:c r="R103" s="8" t="str">
        <x:v>app_recommendations_v3</x:v>
      </x:c>
      <x:c r="S103" s="8" t="str">
        <x:v>5</x:v>
      </x:c>
    </x:row>
    <x:row r="104" ht="48" customHeight="1">
      <x:c r="A104" s="8" t="str">
        <x:v>act_iso_push_smooth.01</x:v>
      </x:c>
      <x:c r="B104" s="8" t="str">
        <x:v>act_iso_push_smooth</x:v>
      </x:c>
      <x:c r="C104" s="8" t="str">
        <x:v>recommendation</x:v>
      </x:c>
      <x:c r="D104" s="11" t="str">
        <x:v>ออกแรงดันหรือลากอย่างต่อเนื่อง ไม่กระชาก</x:v>
      </x:c>
      <x:c r="E104" s="11" t="str">
        <x:v>Apply push or pull force smoothly without jerking.</x:v>
      </x:c>
      <x:c r="F104" s="8" t="str">
        <x:v>plain_english</x:v>
      </x:c>
      <x:c r="G104" s="8" t="str">
        <x:v>pass</x:v>
      </x:c>
      <x:c r="H104" s="8" t="str">
        <x:v>not_applicable</x:v>
      </x:c>
      <x:c r="I104" s="8" t="str">
        <x:v>pass</x:v>
      </x:c>
      <x:c r="J104" s="8" t="str">
        <x:v>pass</x:v>
      </x:c>
      <x:c r="K104" s="8" t="str">
        <x:v>pass</x:v>
      </x:c>
      <x:c r="L104" s="8" t="str">
        <x:v>pass</x:v>
      </x:c>
      <x:c r="M104" s="11" t="str"/>
      <x:c r="N104" s="8" t="str">
        <x:v>approved</x:v>
      </x:c>
      <x:c r="O104" s="8" t="str">
        <x:v>Methee</x:v>
      </x:c>
      <x:c r="P104" s="9" t="str">
        <x:v>⁠2026-07-29T00:00:00+07:00</x:v>
      </x:c>
      <x:c r="Q104" s="10" t="n">
        <x:v>1</x:v>
      </x:c>
      <x:c r="R104" s="8" t="str">
        <x:v>app_recommendations_v3</x:v>
      </x:c>
      <x:c r="S104" s="8" t="str">
        <x:v>5</x:v>
      </x:c>
    </x:row>
    <x:row r="105" ht="48" customHeight="1">
      <x:c r="A105" s="8" t="str">
        <x:v>act_iso_reduce_frequency.01</x:v>
      </x:c>
      <x:c r="B105" s="8" t="str">
        <x:v>act_iso_reduce_frequency</x:v>
      </x:c>
      <x:c r="C105" s="8" t="str">
        <x:v>recommendation</x:v>
      </x:c>
      <x:c r="D105" s="11" t="str">
        <x:v>ลดความถี่ในการยก หรือแบ่งงานเป็นรอบสั้นลง</x:v>
      </x:c>
      <x:c r="E105" s="11" t="str">
        <x:v>Reduce lifting frequency or split the task into shorter rounds.</x:v>
      </x:c>
      <x:c r="F105" s="8" t="str">
        <x:v>direct</x:v>
      </x:c>
      <x:c r="G105" s="8" t="str">
        <x:v>pass</x:v>
      </x:c>
      <x:c r="H105" s="8" t="str">
        <x:v>not_applicable</x:v>
      </x:c>
      <x:c r="I105" s="8" t="str">
        <x:v>pass</x:v>
      </x:c>
      <x:c r="J105" s="8" t="str">
        <x:v>pass</x:v>
      </x:c>
      <x:c r="K105" s="8" t="str">
        <x:v>pass</x:v>
      </x:c>
      <x:c r="L105" s="8" t="str">
        <x:v>pass</x:v>
      </x:c>
      <x:c r="M105" s="11" t="str"/>
      <x:c r="N105" s="8" t="str">
        <x:v>approved</x:v>
      </x:c>
      <x:c r="O105" s="8" t="str">
        <x:v>Methee</x:v>
      </x:c>
      <x:c r="P105" s="9" t="str">
        <x:v>⁠2026-07-29T00:00:00+07:00</x:v>
      </x:c>
      <x:c r="Q105" s="10" t="n">
        <x:v>1</x:v>
      </x:c>
      <x:c r="R105" s="8" t="str">
        <x:v>body_map_recommendations</x:v>
      </x:c>
      <x:c r="S105" s="8" t="str">
        <x:v>4,8</x:v>
      </x:c>
    </x:row>
    <x:row r="106" ht="48" customHeight="1">
      <x:c r="A106" s="8" t="str">
        <x:v>act_iso_reduce_push_distance.01</x:v>
      </x:c>
      <x:c r="B106" s="8" t="str">
        <x:v>act_iso_reduce_push_distance</x:v>
      </x:c>
      <x:c r="C106" s="8" t="str">
        <x:v>recommendation</x:v>
      </x:c>
      <x:c r="D106" s="11" t="str">
        <x:v>ลดระยะทางดัน/ลาก หรือแบ่งเส้นทางเป็นช่วงสั้นลง</x:v>
      </x:c>
      <x:c r="E106" s="11" t="str">
        <x:v>Shorten push/pull distance or divide the route into shorter sections.</x:v>
      </x:c>
      <x:c r="F106" s="8" t="str">
        <x:v>direct</x:v>
      </x:c>
      <x:c r="G106" s="8" t="str">
        <x:v>pass</x:v>
      </x:c>
      <x:c r="H106" s="8" t="str">
        <x:v>not_applicable</x:v>
      </x:c>
      <x:c r="I106" s="8" t="str">
        <x:v>pass</x:v>
      </x:c>
      <x:c r="J106" s="8" t="str">
        <x:v>pass</x:v>
      </x:c>
      <x:c r="K106" s="8" t="str">
        <x:v>pass</x:v>
      </x:c>
      <x:c r="L106" s="8" t="str">
        <x:v>pass</x:v>
      </x:c>
      <x:c r="M106" s="11" t="str"/>
      <x:c r="N106" s="8" t="str">
        <x:v>approved</x:v>
      </x:c>
      <x:c r="O106" s="8" t="str">
        <x:v>Methee</x:v>
      </x:c>
      <x:c r="P106" s="9" t="str">
        <x:v>⁠2026-07-29T00:00:00+07:00</x:v>
      </x:c>
      <x:c r="Q106" s="10" t="n">
        <x:v>1</x:v>
      </x:c>
      <x:c r="R106" s="8" t="str">
        <x:v>app_recommendations_v3</x:v>
      </x:c>
      <x:c r="S106" s="8" t="str">
        <x:v>5</x:v>
      </x:c>
    </x:row>
    <x:row r="107" ht="48" customHeight="1">
      <x:c r="A107" s="8" t="str">
        <x:v>act_iso_tool_handle_fit.01</x:v>
      </x:c>
      <x:c r="B107" s="8" t="str">
        <x:v>act_iso_tool_handle_fit</x:v>
      </x:c>
      <x:c r="C107" s="8" t="str">
        <x:v>recommendation</x:v>
      </x:c>
      <x:c r="D107" s="11" t="str">
        <x:v>ใช้ด้ามจับที่ไม่ลื่น มีขนาดพอดีมือ</x:v>
      </x:c>
      <x:c r="E107" s="11" t="str">
        <x:v>Use non-slip handles that fit the hand.</x:v>
      </x:c>
      <x:c r="F107" s="8" t="str">
        <x:v>direct</x:v>
      </x:c>
      <x:c r="G107" s="8" t="str">
        <x:v>pass</x:v>
      </x:c>
      <x:c r="H107" s="8" t="str">
        <x:v>not_applicable</x:v>
      </x:c>
      <x:c r="I107" s="8" t="str">
        <x:v>pass</x:v>
      </x:c>
      <x:c r="J107" s="8" t="str">
        <x:v>pass</x:v>
      </x:c>
      <x:c r="K107" s="8" t="str">
        <x:v>pass</x:v>
      </x:c>
      <x:c r="L107" s="8" t="str">
        <x:v>pass</x:v>
      </x:c>
      <x:c r="M107" s="11" t="str"/>
      <x:c r="N107" s="8" t="str">
        <x:v>approved</x:v>
      </x:c>
      <x:c r="O107" s="8" t="str">
        <x:v>Methee</x:v>
      </x:c>
      <x:c r="P107" s="9" t="str">
        <x:v>⁠2026-07-29T00:00:00+07:00</x:v>
      </x:c>
      <x:c r="Q107" s="10" t="n">
        <x:v>1</x:v>
      </x:c>
      <x:c r="R107" s="8" t="str">
        <x:v>ilo_ergonomic_checkpoints_agriculture</x:v>
      </x:c>
      <x:c r="S107" s="8" t="str">
        <x:v>79</x:v>
      </x:c>
    </x:row>
    <x:row r="108" ht="48" customHeight="1">
      <x:c r="A108" s="8" t="str">
        <x:v>act_iso_tool_handle_fit.02</x:v>
      </x:c>
      <x:c r="B108" s="8" t="str">
        <x:v>act_iso_tool_handle_fit</x:v>
      </x:c>
      <x:c r="C108" s="8" t="str">
        <x:v>recommendation</x:v>
      </x:c>
      <x:c r="D108" s="11" t="str">
        <x:v>ลดแรงบีบจับ</x:v>
      </x:c>
      <x:c r="E108" s="11" t="str">
        <x:v>Reduce gripping force.</x:v>
      </x:c>
      <x:c r="F108" s="8" t="str">
        <x:v>direct</x:v>
      </x:c>
      <x:c r="G108" s="8" t="str">
        <x:v>pass</x:v>
      </x:c>
      <x:c r="H108" s="8" t="str">
        <x:v>not_applicable</x:v>
      </x:c>
      <x:c r="I108" s="8" t="str">
        <x:v>pass</x:v>
      </x:c>
      <x:c r="J108" s="8" t="str">
        <x:v>pass</x:v>
      </x:c>
      <x:c r="K108" s="8" t="str">
        <x:v>pass</x:v>
      </x:c>
      <x:c r="L108" s="8" t="str">
        <x:v>pass</x:v>
      </x:c>
      <x:c r="M108" s="11" t="str"/>
      <x:c r="N108" s="8" t="str">
        <x:v>approved</x:v>
      </x:c>
      <x:c r="O108" s="8" t="str">
        <x:v>Methee</x:v>
      </x:c>
      <x:c r="P108" s="9" t="str">
        <x:v>⁠2026-07-29T00:00:00+07:00</x:v>
      </x:c>
      <x:c r="Q108" s="10" t="n">
        <x:v>1</x:v>
      </x:c>
      <x:c r="R108" s="8" t="str">
        <x:v>ilo_ergonomic_checkpoints_agriculture</x:v>
      </x:c>
      <x:c r="S108" s="8" t="str">
        <x:v>79</x:v>
      </x:c>
    </x:row>
    <x:row r="109" ht="48" customHeight="1">
      <x:c r="A109" s="8" t="str">
        <x:v>act_pesticide_ref_high.01</x:v>
      </x:c>
      <x:c r="B109" s="8" t="str">
        <x:v>act_pesticide_ref_high</x:v>
      </x:c>
      <x:c r="C109" s="8" t="str">
        <x:v>recommendation</x:v>
      </x:c>
      <x:c r="D109" s="11" t="str">
        <x:v>ถ้าถังพ่นหนักเกินน้ำหนักที่แนะนำ ให้ใช้อุปกรณ์ล้อเข็นหรือหัวฉีดแบบต่อท่อยาว</x:v>
      </x:c>
      <x:c r="E109" s="11" t="str">
        <x:v>If the sprayer tank exceeds the recommended weight, use a wheeled aid or a long-hose nozzle.</x:v>
      </x:c>
      <x:c r="F109" s="8" t="str">
        <x:v>direct</x:v>
      </x:c>
      <x:c r="G109" s="8" t="str">
        <x:v>pass</x:v>
      </x:c>
      <x:c r="H109" s="8" t="str">
        <x:v>not_applicable</x:v>
      </x:c>
      <x:c r="I109" s="8" t="str">
        <x:v>pass</x:v>
      </x:c>
      <x:c r="J109" s="8" t="str">
        <x:v>pass</x:v>
      </x:c>
      <x:c r="K109" s="8" t="str">
        <x:v>pass</x:v>
      </x:c>
      <x:c r="L109" s="8" t="str">
        <x:v>pass</x:v>
      </x:c>
      <x:c r="M109" s="11" t="str"/>
      <x:c r="N109" s="8" t="str">
        <x:v>approved</x:v>
      </x:c>
      <x:c r="O109" s="8" t="str">
        <x:v>Methee</x:v>
      </x:c>
      <x:c r="P109" s="9" t="str">
        <x:v>⁠2026-07-29T00:00:00+07:00</x:v>
      </x:c>
      <x:c r="Q109" s="10" t="n">
        <x:v>1</x:v>
      </x:c>
      <x:c r="R109" s="8" t="str">
        <x:v>app_recommendations_v3</x:v>
      </x:c>
      <x:c r="S109" s="8" t="str">
        <x:v>2</x:v>
      </x:c>
    </x:row>
    <x:row r="110" ht="48" customHeight="1">
      <x:c r="A110" s="8" t="str">
        <x:v>act_pesticide_ref_high.02</x:v>
      </x:c>
      <x:c r="B110" s="8" t="str">
        <x:v>act_pesticide_ref_high</x:v>
      </x:c>
      <x:c r="C110" s="8" t="str">
        <x:v>recommendation</x:v>
      </x:c>
      <x:c r="D110" s="11" t="str">
        <x:v>หมุนเวียนงานกับเพื่อนทุก 30 นาที</x:v>
      </x:c>
      <x:c r="E110" s="11" t="str">
        <x:v>Rotate tasks with a coworker every 30 minutes.</x:v>
      </x:c>
      <x:c r="F110" s="8" t="str">
        <x:v>direct</x:v>
      </x:c>
      <x:c r="G110" s="8" t="str">
        <x:v>pass</x:v>
      </x:c>
      <x:c r="H110" s="8" t="str">
        <x:v>pass</x:v>
      </x:c>
      <x:c r="I110" s="8" t="str">
        <x:v>pass</x:v>
      </x:c>
      <x:c r="J110" s="8" t="str">
        <x:v>pass</x:v>
      </x:c>
      <x:c r="K110" s="8" t="str">
        <x:v>pass</x:v>
      </x:c>
      <x:c r="L110" s="8" t="str">
        <x:v>pass</x:v>
      </x:c>
      <x:c r="M110" s="11" t="str"/>
      <x:c r="N110" s="8" t="str">
        <x:v>approved</x:v>
      </x:c>
      <x:c r="O110" s="8" t="str">
        <x:v>Methee</x:v>
      </x:c>
      <x:c r="P110" s="9" t="str">
        <x:v>⁠2026-07-29T00:00:00+07:00</x:v>
      </x:c>
      <x:c r="Q110" s="10" t="n">
        <x:v>1</x:v>
      </x:c>
      <x:c r="R110" s="8" t="str">
        <x:v>app_recommendations_v3</x:v>
      </x:c>
      <x:c r="S110" s="8" t="str">
        <x:v>2</x:v>
      </x:c>
    </x:row>
    <x:row r="111" ht="48" customHeight="1">
      <x:c r="A111" s="8" t="str">
        <x:v>act_pesticide_ref_low.01</x:v>
      </x:c>
      <x:c r="B111" s="8" t="str">
        <x:v>act_pesticide_ref_low</x:v>
      </x:c>
      <x:c r="C111" s="8" t="str">
        <x:v>recommendation</x:v>
      </x:c>
      <x:c r="D111" s="11" t="str">
        <x:v>ปรับสายสะพายเครื่องพ่นให้พอดี</x:v>
      </x:c>
      <x:c r="E111" s="11" t="str">
        <x:v>Fit sprayer straps properly.</x:v>
      </x:c>
      <x:c r="F111" s="8" t="str">
        <x:v>direct</x:v>
      </x:c>
      <x:c r="G111" s="8" t="str">
        <x:v>pass</x:v>
      </x:c>
      <x:c r="H111" s="8" t="str">
        <x:v>not_applicable</x:v>
      </x:c>
      <x:c r="I111" s="8" t="str">
        <x:v>pass</x:v>
      </x:c>
      <x:c r="J111" s="8" t="str">
        <x:v>pass</x:v>
      </x:c>
      <x:c r="K111" s="8" t="str">
        <x:v>pass</x:v>
      </x:c>
      <x:c r="L111" s="8" t="str">
        <x:v>pass</x:v>
      </x:c>
      <x:c r="M111" s="11" t="str"/>
      <x:c r="N111" s="8" t="str">
        <x:v>approved</x:v>
      </x:c>
      <x:c r="O111" s="8" t="str">
        <x:v>Methee</x:v>
      </x:c>
      <x:c r="P111" s="9" t="str">
        <x:v>⁠2026-07-29T00:00:00+07:00</x:v>
      </x:c>
      <x:c r="Q111" s="10" t="n">
        <x:v>1</x:v>
      </x:c>
      <x:c r="R111" s="8" t="str">
        <x:v>app_recommendations_v3</x:v>
      </x:c>
      <x:c r="S111" s="8" t="str">
        <x:v>2</x:v>
      </x:c>
    </x:row>
    <x:row r="112" ht="48" customHeight="1">
      <x:c r="A112" s="8" t="str">
        <x:v>act_pesticide_ref_low.02</x:v>
      </x:c>
      <x:c r="B112" s="8" t="str">
        <x:v>act_pesticide_ref_low</x:v>
      </x:c>
      <x:c r="C112" s="8" t="str">
        <x:v>recommendation</x:v>
      </x:c>
      <x:c r="D112" s="11" t="str">
        <x:v>ใช้หัวฉีดน้ำหนักเบา</x:v>
      </x:c>
      <x:c r="E112" s="11" t="str">
        <x:v>Use a lightweight nozzle.</x:v>
      </x:c>
      <x:c r="F112" s="8" t="str">
        <x:v>direct</x:v>
      </x:c>
      <x:c r="G112" s="8" t="str">
        <x:v>pass</x:v>
      </x:c>
      <x:c r="H112" s="8" t="str">
        <x:v>not_applicable</x:v>
      </x:c>
      <x:c r="I112" s="8" t="str">
        <x:v>pass</x:v>
      </x:c>
      <x:c r="J112" s="8" t="str">
        <x:v>pass</x:v>
      </x:c>
      <x:c r="K112" s="8" t="str">
        <x:v>pass</x:v>
      </x:c>
      <x:c r="L112" s="8" t="str">
        <x:v>pass</x:v>
      </x:c>
      <x:c r="M112" s="11" t="str"/>
      <x:c r="N112" s="8" t="str">
        <x:v>approved</x:v>
      </x:c>
      <x:c r="O112" s="8" t="str">
        <x:v>Methee</x:v>
      </x:c>
      <x:c r="P112" s="9" t="str">
        <x:v>⁠2026-07-29T00:00:00+07:00</x:v>
      </x:c>
      <x:c r="Q112" s="10" t="n">
        <x:v>1</x:v>
      </x:c>
      <x:c r="R112" s="8" t="str">
        <x:v>app_recommendations_v3</x:v>
      </x:c>
      <x:c r="S112" s="8" t="str">
        <x:v>2</x:v>
      </x:c>
    </x:row>
    <x:row r="113" ht="48" customHeight="1">
      <x:c r="A113" s="8" t="str">
        <x:v>act_pesticide_ref_low.03</x:v>
      </x:c>
      <x:c r="B113" s="8" t="str">
        <x:v>act_pesticide_ref_low</x:v>
      </x:c>
      <x:c r="C113" s="8" t="str">
        <x:v>recommendation</x:v>
      </x:c>
      <x:c r="D113" s="11" t="str">
        <x:v>พัก 5 นาทีทุกชั่วโมง</x:v>
      </x:c>
      <x:c r="E113" s="11" t="str">
        <x:v>Rest 5 minutes every hour.</x:v>
      </x:c>
      <x:c r="F113" s="8" t="str">
        <x:v>direct</x:v>
      </x:c>
      <x:c r="G113" s="8" t="str">
        <x:v>pass</x:v>
      </x:c>
      <x:c r="H113" s="8" t="str">
        <x:v>pass</x:v>
      </x:c>
      <x:c r="I113" s="8" t="str">
        <x:v>pass</x:v>
      </x:c>
      <x:c r="J113" s="8" t="str">
        <x:v>pass</x:v>
      </x:c>
      <x:c r="K113" s="8" t="str">
        <x:v>pass</x:v>
      </x:c>
      <x:c r="L113" s="8" t="str">
        <x:v>pass</x:v>
      </x:c>
      <x:c r="M113" s="11" t="str"/>
      <x:c r="N113" s="8" t="str">
        <x:v>approved</x:v>
      </x:c>
      <x:c r="O113" s="8" t="str">
        <x:v>Methee</x:v>
      </x:c>
      <x:c r="P113" s="9" t="str">
        <x:v>⁠2026-07-29T00:00:00+07:00</x:v>
      </x:c>
      <x:c r="Q113" s="10" t="n">
        <x:v>1</x:v>
      </x:c>
      <x:c r="R113" s="8" t="str">
        <x:v>app_recommendations_v3</x:v>
      </x:c>
      <x:c r="S113" s="8" t="str">
        <x:v>2</x:v>
      </x:c>
    </x:row>
    <x:row r="114" ht="48" customHeight="1">
      <x:c r="A114" s="8" t="str">
        <x:v>act_pesticide_ref_medium.01</x:v>
      </x:c>
      <x:c r="B114" s="8" t="str">
        <x:v>act_pesticide_ref_medium</x:v>
      </x:c>
      <x:c r="C114" s="8" t="str">
        <x:v>recommendation</x:v>
      </x:c>
      <x:c r="D114" s="11" t="str">
        <x:v>ลดระยะเวลาพ่นต่อเนื่องไม่เกิน 1 ชั่วโมง แล้วพัก 15 นาที</x:v>
      </x:c>
      <x:c r="E114" s="11" t="str">
        <x:v>Limit continuous spraying to 1 hour, then rest for 15 minutes.</x:v>
      </x:c>
      <x:c r="F114" s="8" t="str">
        <x:v>direct</x:v>
      </x:c>
      <x:c r="G114" s="8" t="str">
        <x:v>pass</x:v>
      </x:c>
      <x:c r="H114" s="8" t="str">
        <x:v>pass</x:v>
      </x:c>
      <x:c r="I114" s="8" t="str">
        <x:v>pass</x:v>
      </x:c>
      <x:c r="J114" s="8" t="str">
        <x:v>pass</x:v>
      </x:c>
      <x:c r="K114" s="8" t="str">
        <x:v>pass</x:v>
      </x:c>
      <x:c r="L114" s="8" t="str">
        <x:v>pass</x:v>
      </x:c>
      <x:c r="M114" s="11" t="str"/>
      <x:c r="N114" s="8" t="str">
        <x:v>approved</x:v>
      </x:c>
      <x:c r="O114" s="8" t="str">
        <x:v>Methee</x:v>
      </x:c>
      <x:c r="P114" s="9" t="str">
        <x:v>⁠2026-07-29T00:00:00+07:00</x:v>
      </x:c>
      <x:c r="Q114" s="10" t="n">
        <x:v>1</x:v>
      </x:c>
      <x:c r="R114" s="8" t="str">
        <x:v>app_recommendations_v3</x:v>
      </x:c>
      <x:c r="S114" s="8" t="str">
        <x:v>2</x:v>
      </x:c>
    </x:row>
    <x:row r="115" ht="48" customHeight="1">
      <x:c r="A115" s="8" t="str">
        <x:v>act_pesticide_ref_medium.02</x:v>
      </x:c>
      <x:c r="B115" s="8" t="str">
        <x:v>act_pesticide_ref_medium</x:v>
      </x:c>
      <x:c r="C115" s="8" t="str">
        <x:v>recommendation</x:v>
      </x:c>
      <x:c r="D115" s="11" t="str">
        <x:v>สลับข้างที่ถือท่อพ่น และใส่รองเท้ากันลื่น</x:v>
      </x:c>
      <x:c r="E115" s="11" t="str">
        <x:v>Alternate the side holding the spray wand and wear non-slip footwear.</x:v>
      </x:c>
      <x:c r="F115" s="8" t="str">
        <x:v>direct</x:v>
      </x:c>
      <x:c r="G115" s="8" t="str">
        <x:v>pass</x:v>
      </x:c>
      <x:c r="H115" s="8" t="str">
        <x:v>not_applicable</x:v>
      </x:c>
      <x:c r="I115" s="8" t="str">
        <x:v>pass</x:v>
      </x:c>
      <x:c r="J115" s="8" t="str">
        <x:v>pass</x:v>
      </x:c>
      <x:c r="K115" s="8" t="str">
        <x:v>pass</x:v>
      </x:c>
      <x:c r="L115" s="8" t="str">
        <x:v>pass</x:v>
      </x:c>
      <x:c r="M115" s="11" t="str"/>
      <x:c r="N115" s="8" t="str">
        <x:v>approved</x:v>
      </x:c>
      <x:c r="O115" s="8" t="str">
        <x:v>Methee</x:v>
      </x:c>
      <x:c r="P115" s="9" t="str">
        <x:v>⁠2026-07-29T00:00:00+07:00</x:v>
      </x:c>
      <x:c r="Q115" s="10" t="n">
        <x:v>1</x:v>
      </x:c>
      <x:c r="R115" s="8" t="str">
        <x:v>app_recommendations_v3</x:v>
      </x:c>
      <x:c r="S115" s="8" t="str">
        <x:v>2</x:v>
      </x:c>
    </x:row>
    <x:row r="116" ht="48" customHeight="1">
      <x:c r="A116" s="8" t="str">
        <x:v>act_pruning_ref_high.01</x:v>
      </x:c>
      <x:c r="B116" s="8" t="str">
        <x:v>act_pruning_ref_high</x:v>
      </x:c>
      <x:c r="C116" s="8" t="str">
        <x:v>recommendation</x:v>
      </x:c>
      <x:c r="D116" s="11" t="str">
        <x:v>เปลี่ยนมาใช้เครื่องตัดกิ่งแบบกลไกช่วย</x:v>
      </x:c>
      <x:c r="E116" s="11" t="str">
        <x:v>Use mechanically assisted pruning tools.</x:v>
      </x:c>
      <x:c r="F116" s="8" t="str">
        <x:v>direct</x:v>
      </x:c>
      <x:c r="G116" s="8" t="str">
        <x:v>pass</x:v>
      </x:c>
      <x:c r="H116" s="8" t="str">
        <x:v>not_applicable</x:v>
      </x:c>
      <x:c r="I116" s="8" t="str">
        <x:v>pass</x:v>
      </x:c>
      <x:c r="J116" s="8" t="str">
        <x:v>pass</x:v>
      </x:c>
      <x:c r="K116" s="8" t="str">
        <x:v>pass</x:v>
      </x:c>
      <x:c r="L116" s="8" t="str">
        <x:v>pass</x:v>
      </x:c>
      <x:c r="M116" s="11" t="str"/>
      <x:c r="N116" s="8" t="str">
        <x:v>approved</x:v>
      </x:c>
      <x:c r="O116" s="8" t="str">
        <x:v>Methee</x:v>
      </x:c>
      <x:c r="P116" s="9" t="str">
        <x:v>⁠2026-07-29T00:00:00+07:00</x:v>
      </x:c>
      <x:c r="Q116" s="10" t="n">
        <x:v>1</x:v>
      </x:c>
      <x:c r="R116" s="8" t="str">
        <x:v>app_recommendations_v3</x:v>
      </x:c>
      <x:c r="S116" s="8" t="str">
        <x:v>2</x:v>
      </x:c>
    </x:row>
    <x:row r="117" ht="48" customHeight="1">
      <x:c r="A117" s="8" t="str">
        <x:v>act_pruning_ref_high.02</x:v>
      </x:c>
      <x:c r="B117" s="8" t="str">
        <x:v>act_pruning_ref_high</x:v>
      </x:c>
      <x:c r="C117" s="8" t="str">
        <x:v>recommendation</x:v>
      </x:c>
      <x:c r="D117" s="11" t="str">
        <x:v>ถ้าใช้กรรไกรต้องพัก 10 นาทีทุก 20 นาที</x:v>
      </x:c>
      <x:c r="E117" s="11" t="str">
        <x:v>When using shears, rest for 10 minutes every 20 minutes.</x:v>
      </x:c>
      <x:c r="F117" s="8" t="str">
        <x:v>direct</x:v>
      </x:c>
      <x:c r="G117" s="8" t="str">
        <x:v>pass</x:v>
      </x:c>
      <x:c r="H117" s="8" t="str">
        <x:v>pass</x:v>
      </x:c>
      <x:c r="I117" s="8" t="str">
        <x:v>pass</x:v>
      </x:c>
      <x:c r="J117" s="8" t="str">
        <x:v>pass</x:v>
      </x:c>
      <x:c r="K117" s="8" t="str">
        <x:v>pass</x:v>
      </x:c>
      <x:c r="L117" s="8" t="str">
        <x:v>pass</x:v>
      </x:c>
      <x:c r="M117" s="11" t="str"/>
      <x:c r="N117" s="8" t="str">
        <x:v>approved</x:v>
      </x:c>
      <x:c r="O117" s="8" t="str">
        <x:v>Methee</x:v>
      </x:c>
      <x:c r="P117" s="9" t="str">
        <x:v>⁠2026-07-29T00:00:00+07:00</x:v>
      </x:c>
      <x:c r="Q117" s="10" t="n">
        <x:v>1</x:v>
      </x:c>
      <x:c r="R117" s="8" t="str">
        <x:v>app_recommendations_v3</x:v>
      </x:c>
      <x:c r="S117" s="8" t="str">
        <x:v>2</x:v>
      </x:c>
    </x:row>
    <x:row r="118" ht="48" customHeight="1">
      <x:c r="A118" s="8" t="str">
        <x:v>act_pruning_ref_high.03</x:v>
      </x:c>
      <x:c r="B118" s="8" t="str">
        <x:v>act_pruning_ref_high</x:v>
      </x:c>
      <x:c r="C118" s="8" t="str">
        <x:v>recommendation</x:v>
      </x:c>
      <x:c r="D118" s="11" t="str">
        <x:v>ทำงานเป็นทีมเพื่อหมุนเวียน</x:v>
      </x:c>
      <x:c r="E118" s="11" t="str">
        <x:v>Work as a team to rotate tasks.</x:v>
      </x:c>
      <x:c r="F118" s="8" t="str">
        <x:v>direct</x:v>
      </x:c>
      <x:c r="G118" s="8" t="str">
        <x:v>pass</x:v>
      </x:c>
      <x:c r="H118" s="8" t="str">
        <x:v>not_applicable</x:v>
      </x:c>
      <x:c r="I118" s="8" t="str">
        <x:v>pass</x:v>
      </x:c>
      <x:c r="J118" s="8" t="str">
        <x:v>pass</x:v>
      </x:c>
      <x:c r="K118" s="8" t="str">
        <x:v>pass</x:v>
      </x:c>
      <x:c r="L118" s="8" t="str">
        <x:v>pass</x:v>
      </x:c>
      <x:c r="M118" s="11" t="str"/>
      <x:c r="N118" s="8" t="str">
        <x:v>approved</x:v>
      </x:c>
      <x:c r="O118" s="8" t="str">
        <x:v>Methee</x:v>
      </x:c>
      <x:c r="P118" s="9" t="str">
        <x:v>⁠2026-07-29T00:00:00+07:00</x:v>
      </x:c>
      <x:c r="Q118" s="10" t="n">
        <x:v>1</x:v>
      </x:c>
      <x:c r="R118" s="8" t="str">
        <x:v>app_recommendations_v3</x:v>
      </x:c>
      <x:c r="S118" s="8" t="str">
        <x:v>2</x:v>
      </x:c>
    </x:row>
    <x:row r="119" ht="48" customHeight="1">
      <x:c r="A119" s="8" t="str">
        <x:v>act_pruning_ref_high.04</x:v>
      </x:c>
      <x:c r="B119" s="8" t="str">
        <x:v>act_pruning_ref_high</x:v>
      </x:c>
      <x:c r="C119" s="8" t="str">
        <x:v>recommendation</x:v>
      </x:c>
      <x:c r="D119" s="11" t="str">
        <x:v>หลีกเลี่ยงการตัดในท่าบิดตัว</x:v>
      </x:c>
      <x:c r="E119" s="11" t="str">
        <x:v>Avoid twisting while pruning.</x:v>
      </x:c>
      <x:c r="F119" s="8" t="str">
        <x:v>direct</x:v>
      </x:c>
      <x:c r="G119" s="8" t="str">
        <x:v>pass</x:v>
      </x:c>
      <x:c r="H119" s="8" t="str">
        <x:v>not_applicable</x:v>
      </x:c>
      <x:c r="I119" s="8" t="str">
        <x:v>pass</x:v>
      </x:c>
      <x:c r="J119" s="8" t="str">
        <x:v>pass</x:v>
      </x:c>
      <x:c r="K119" s="8" t="str">
        <x:v>pass</x:v>
      </x:c>
      <x:c r="L119" s="8" t="str">
        <x:v>pass</x:v>
      </x:c>
      <x:c r="M119" s="11" t="str"/>
      <x:c r="N119" s="8" t="str">
        <x:v>approved</x:v>
      </x:c>
      <x:c r="O119" s="8" t="str">
        <x:v>Methee</x:v>
      </x:c>
      <x:c r="P119" s="9" t="str">
        <x:v>⁠2026-07-29T00:00:00+07:00</x:v>
      </x:c>
      <x:c r="Q119" s="10" t="n">
        <x:v>1</x:v>
      </x:c>
      <x:c r="R119" s="8" t="str">
        <x:v>app_recommendations_v3</x:v>
      </x:c>
      <x:c r="S119" s="8" t="str">
        <x:v>2</x:v>
      </x:c>
    </x:row>
    <x:row r="120" ht="48" customHeight="1">
      <x:c r="A120" s="8" t="str">
        <x:v>act_pruning_ref_low.01</x:v>
      </x:c>
      <x:c r="B120" s="8" t="str">
        <x:v>act_pruning_ref_low</x:v>
      </x:c>
      <x:c r="C120" s="8" t="str">
        <x:v>recommendation</x:v>
      </x:c>
      <x:c r="D120" s="11" t="str">
        <x:v>ใช้กรรไกรคมและน้ำหนักเบา</x:v>
      </x:c>
      <x:c r="E120" s="11" t="str">
        <x:v>Use sharp, lightweight shears.</x:v>
      </x:c>
      <x:c r="F120" s="8" t="str">
        <x:v>direct</x:v>
      </x:c>
      <x:c r="G120" s="8" t="str">
        <x:v>pass</x:v>
      </x:c>
      <x:c r="H120" s="8" t="str">
        <x:v>not_applicable</x:v>
      </x:c>
      <x:c r="I120" s="8" t="str">
        <x:v>pass</x:v>
      </x:c>
      <x:c r="J120" s="8" t="str">
        <x:v>pass</x:v>
      </x:c>
      <x:c r="K120" s="8" t="str">
        <x:v>pass</x:v>
      </x:c>
      <x:c r="L120" s="8" t="str">
        <x:v>pass</x:v>
      </x:c>
      <x:c r="M120" s="11" t="str"/>
      <x:c r="N120" s="8" t="str">
        <x:v>approved</x:v>
      </x:c>
      <x:c r="O120" s="8" t="str">
        <x:v>Methee</x:v>
      </x:c>
      <x:c r="P120" s="9" t="str">
        <x:v>⁠2026-07-29T00:00:00+07:00</x:v>
      </x:c>
      <x:c r="Q120" s="10" t="n">
        <x:v>1</x:v>
      </x:c>
      <x:c r="R120" s="8" t="str">
        <x:v>app_recommendations_v3</x:v>
      </x:c>
      <x:c r="S120" s="8" t="str">
        <x:v>2</x:v>
      </x:c>
    </x:row>
    <x:row r="121" ht="48" customHeight="1">
      <x:c r="A121" s="8" t="str">
        <x:v>act_pruning_ref_low.02</x:v>
      </x:c>
      <x:c r="B121" s="8" t="str">
        <x:v>act_pruning_ref_low</x:v>
      </x:c>
      <x:c r="C121" s="8" t="str">
        <x:v>recommendation</x:v>
      </x:c>
      <x:c r="D121" s="11" t="str">
        <x:v>สลับแขนทุก 10-15 นาที และอย่ายกแขนเหนือศีรษะนาน</x:v>
      </x:c>
      <x:c r="E121" s="11" t="str">
        <x:v>Switch arms every 10-15 minutes and avoid keeping the arms above the head for long periods.</x:v>
      </x:c>
      <x:c r="F121" s="8" t="str">
        <x:v>direct</x:v>
      </x:c>
      <x:c r="G121" s="8" t="str">
        <x:v>pass</x:v>
      </x:c>
      <x:c r="H121" s="8" t="str">
        <x:v>pass</x:v>
      </x:c>
      <x:c r="I121" s="8" t="str">
        <x:v>pass</x:v>
      </x:c>
      <x:c r="J121" s="8" t="str">
        <x:v>pass</x:v>
      </x:c>
      <x:c r="K121" s="8" t="str">
        <x:v>pass</x:v>
      </x:c>
      <x:c r="L121" s="8" t="str">
        <x:v>pass</x:v>
      </x:c>
      <x:c r="M121" s="11" t="str"/>
      <x:c r="N121" s="8" t="str">
        <x:v>approved</x:v>
      </x:c>
      <x:c r="O121" s="8" t="str">
        <x:v>Methee</x:v>
      </x:c>
      <x:c r="P121" s="9" t="str">
        <x:v>⁠2026-07-29T00:00:00+07:00</x:v>
      </x:c>
      <x:c r="Q121" s="10" t="n">
        <x:v>1</x:v>
      </x:c>
      <x:c r="R121" s="8" t="str">
        <x:v>app_recommendations_v3</x:v>
      </x:c>
      <x:c r="S121" s="8" t="str">
        <x:v>2</x:v>
      </x:c>
    </x:row>
    <x:row r="122" ht="48" customHeight="1">
      <x:c r="A122" s="8" t="str">
        <x:v>act_pruning_ref_medium.01</x:v>
      </x:c>
      <x:c r="B122" s="8" t="str">
        <x:v>act_pruning_ref_medium</x:v>
      </x:c>
      <x:c r="C122" s="8" t="str">
        <x:v>recommendation</x:v>
      </x:c>
      <x:c r="D122" s="11" t="str">
        <x:v>ใช้กรรไกรแบบก้านยาวเพื่อลดการเอื้อม</x:v>
      </x:c>
      <x:c r="E122" s="11" t="str">
        <x:v>Use long-handled shears to reduce reaching.</x:v>
      </x:c>
      <x:c r="F122" s="8" t="str">
        <x:v>direct</x:v>
      </x:c>
      <x:c r="G122" s="8" t="str">
        <x:v>pass</x:v>
      </x:c>
      <x:c r="H122" s="8" t="str">
        <x:v>not_applicable</x:v>
      </x:c>
      <x:c r="I122" s="8" t="str">
        <x:v>pass</x:v>
      </x:c>
      <x:c r="J122" s="8" t="str">
        <x:v>pass</x:v>
      </x:c>
      <x:c r="K122" s="8" t="str">
        <x:v>pass</x:v>
      </x:c>
      <x:c r="L122" s="8" t="str">
        <x:v>pass</x:v>
      </x:c>
      <x:c r="M122" s="11" t="str"/>
      <x:c r="N122" s="8" t="str">
        <x:v>approved</x:v>
      </x:c>
      <x:c r="O122" s="8" t="str">
        <x:v>Methee</x:v>
      </x:c>
      <x:c r="P122" s="9" t="str">
        <x:v>⁠2026-07-29T00:00:00+07:00</x:v>
      </x:c>
      <x:c r="Q122" s="10" t="n">
        <x:v>1</x:v>
      </x:c>
      <x:c r="R122" s="8" t="str">
        <x:v>app_recommendations_v3</x:v>
      </x:c>
      <x:c r="S122" s="8" t="str">
        <x:v>2</x:v>
      </x:c>
    </x:row>
    <x:row r="123" ht="48" customHeight="1">
      <x:c r="A123" s="8" t="str">
        <x:v>act_pruning_ref_medium.02</x:v>
      </x:c>
      <x:c r="B123" s="8" t="str">
        <x:v>act_pruning_ref_medium</x:v>
      </x:c>
      <x:c r="C123" s="8" t="str">
        <x:v>recommendation</x:v>
      </x:c>
      <x:c r="D123" s="11" t="str">
        <x:v>ใช้บันไดสำหรับกิ่งสูง</x:v>
      </x:c>
      <x:c r="E123" s="11" t="str">
        <x:v>Use a ladder for high branches.</x:v>
      </x:c>
      <x:c r="F123" s="8" t="str">
        <x:v>direct</x:v>
      </x:c>
      <x:c r="G123" s="8" t="str">
        <x:v>pass</x:v>
      </x:c>
      <x:c r="H123" s="8" t="str">
        <x:v>not_applicable</x:v>
      </x:c>
      <x:c r="I123" s="8" t="str">
        <x:v>pass</x:v>
      </x:c>
      <x:c r="J123" s="8" t="str">
        <x:v>pass</x:v>
      </x:c>
      <x:c r="K123" s="8" t="str">
        <x:v>pass</x:v>
      </x:c>
      <x:c r="L123" s="8" t="str">
        <x:v>pass</x:v>
      </x:c>
      <x:c r="M123" s="11" t="str"/>
      <x:c r="N123" s="8" t="str">
        <x:v>approved</x:v>
      </x:c>
      <x:c r="O123" s="8" t="str">
        <x:v>Methee</x:v>
      </x:c>
      <x:c r="P123" s="9" t="str">
        <x:v>⁠2026-07-29T00:00:00+07:00</x:v>
      </x:c>
      <x:c r="Q123" s="10" t="n">
        <x:v>1</x:v>
      </x:c>
      <x:c r="R123" s="8" t="str">
        <x:v>app_recommendations_v3</x:v>
      </x:c>
      <x:c r="S123" s="8" t="str">
        <x:v>2</x:v>
      </x:c>
    </x:row>
    <x:row r="124" ht="48" customHeight="1">
      <x:c r="A124" s="8" t="str">
        <x:v>act_pruning_ref_medium.03</x:v>
      </x:c>
      <x:c r="B124" s="8" t="str">
        <x:v>act_pruning_ref_medium</x:v>
      </x:c>
      <x:c r="C124" s="8" t="str">
        <x:v>recommendation</x:v>
      </x:c>
      <x:c r="D124" s="11" t="str">
        <x:v>สลับแขน</x:v>
      </x:c>
      <x:c r="E124" s="11" t="str">
        <x:v>Switch arms.</x:v>
      </x:c>
      <x:c r="F124" s="8" t="str">
        <x:v>direct</x:v>
      </x:c>
      <x:c r="G124" s="8" t="str">
        <x:v>pass</x:v>
      </x:c>
      <x:c r="H124" s="8" t="str">
        <x:v>not_applicable</x:v>
      </x:c>
      <x:c r="I124" s="8" t="str">
        <x:v>pass</x:v>
      </x:c>
      <x:c r="J124" s="8" t="str">
        <x:v>pass</x:v>
      </x:c>
      <x:c r="K124" s="8" t="str">
        <x:v>pass</x:v>
      </x:c>
      <x:c r="L124" s="8" t="str">
        <x:v>pass</x:v>
      </x:c>
      <x:c r="M124" s="11" t="str"/>
      <x:c r="N124" s="8" t="str">
        <x:v>approved</x:v>
      </x:c>
      <x:c r="O124" s="8" t="str">
        <x:v>Methee</x:v>
      </x:c>
      <x:c r="P124" s="9" t="str">
        <x:v>⁠2026-07-29T00:00:00+07:00</x:v>
      </x:c>
      <x:c r="Q124" s="10" t="n">
        <x:v>1</x:v>
      </x:c>
      <x:c r="R124" s="8" t="str">
        <x:v>app_recommendations_v3</x:v>
      </x:c>
      <x:c r="S124" s="8" t="str">
        <x:v>2</x:v>
      </x:c>
    </x:row>
    <x:row r="125" ht="48" customHeight="1">
      <x:c r="A125" s="8" t="str">
        <x:v>act_pruning_ref_medium.04</x:v>
      </x:c>
      <x:c r="B125" s="8" t="str">
        <x:v>act_pruning_ref_medium</x:v>
      </x:c>
      <x:c r="C125" s="8" t="str">
        <x:v>recommendation</x:v>
      </x:c>
      <x:c r="D125" s="11" t="str">
        <x:v>พัก 5 นาทีทุก 30 นาที</x:v>
      </x:c>
      <x:c r="E125" s="11" t="str">
        <x:v>Rest 5 minutes every 30 minutes.</x:v>
      </x:c>
      <x:c r="F125" s="8" t="str">
        <x:v>direct</x:v>
      </x:c>
      <x:c r="G125" s="8" t="str">
        <x:v>pass</x:v>
      </x:c>
      <x:c r="H125" s="8" t="str">
        <x:v>pass</x:v>
      </x:c>
      <x:c r="I125" s="8" t="str">
        <x:v>pass</x:v>
      </x:c>
      <x:c r="J125" s="8" t="str">
        <x:v>pass</x:v>
      </x:c>
      <x:c r="K125" s="8" t="str">
        <x:v>pass</x:v>
      </x:c>
      <x:c r="L125" s="8" t="str">
        <x:v>pass</x:v>
      </x:c>
      <x:c r="M125" s="11" t="str"/>
      <x:c r="N125" s="8" t="str">
        <x:v>approved</x:v>
      </x:c>
      <x:c r="O125" s="8" t="str">
        <x:v>Methee</x:v>
      </x:c>
      <x:c r="P125" s="9" t="str">
        <x:v>⁠2026-07-29T00:00:00+07:00</x:v>
      </x:c>
      <x:c r="Q125" s="10" t="n">
        <x:v>1</x:v>
      </x:c>
      <x:c r="R125" s="8" t="str">
        <x:v>app_recommendations_v3</x:v>
      </x:c>
      <x:c r="S125" s="8" t="str">
        <x:v>2</x:v>
      </x:c>
    </x:row>
    <x:row r="126" ht="48" customHeight="1">
      <x:c r="A126" s="8" t="str">
        <x:v>act_reduce_arm_raise.01</x:v>
      </x:c>
      <x:c r="B126" s="8" t="str">
        <x:v>act_reduce_arm_raise</x:v>
      </x:c>
      <x:c r="C126" s="8" t="str">
        <x:v>recommendation</x:v>
      </x:c>
      <x:c r="D126" s="11" t="str">
        <x:v>ลดการยกแขนสูงเหนือไหล่เป็นเวลานาน</x:v>
      </x:c>
      <x:c r="E126" s="11" t="str">
        <x:v>Reduce prolonged arm raising.</x:v>
      </x:c>
      <x:c r="F126" s="8" t="str">
        <x:v>direct</x:v>
      </x:c>
      <x:c r="G126" s="8" t="str">
        <x:v>pass</x:v>
      </x:c>
      <x:c r="H126" s="8" t="str">
        <x:v>not_applicable</x:v>
      </x:c>
      <x:c r="I126" s="8" t="str">
        <x:v>pass</x:v>
      </x:c>
      <x:c r="J126" s="8" t="str">
        <x:v>pass</x:v>
      </x:c>
      <x:c r="K126" s="8" t="str">
        <x:v>pass</x:v>
      </x:c>
      <x:c r="L126" s="8" t="str">
        <x:v>pass</x:v>
      </x:c>
      <x:c r="M126" s="11" t="str"/>
      <x:c r="N126" s="8" t="str">
        <x:v>approved</x:v>
      </x:c>
      <x:c r="O126" s="8" t="str">
        <x:v>Methee</x:v>
      </x:c>
      <x:c r="P126" s="9" t="str">
        <x:v>⁠2026-07-29T00:00:00+07:00</x:v>
      </x:c>
      <x:c r="Q126" s="10" t="n">
        <x:v>1</x:v>
      </x:c>
      <x:c r="R126" s="8" t="str">
        <x:v>body_map_recommendations</x:v>
      </x:c>
      <x:c r="S126" s="8" t="str">
        <x:v>4-5</x:v>
      </x:c>
    </x:row>
    <x:row r="127" ht="48" customHeight="1">
      <x:c r="A127" s="8" t="str">
        <x:v>act_reduce_load_tool.01</x:v>
      </x:c>
      <x:c r="B127" s="8" t="str">
        <x:v>act_reduce_load_tool</x:v>
      </x:c>
      <x:c r="C127" s="8" t="str">
        <x:v>recommendation</x:v>
      </x:c>
      <x:c r="D127" s="11" t="str">
        <x:v>ลดน้ำหนักสิ่งของ หรือใช้เครื่องทุ่นแรง</x:v>
      </x:c>
      <x:c r="E127" s="11" t="str">
        <x:v>Reduce the load weight or use a handling aid.</x:v>
      </x:c>
      <x:c r="F127" s="8" t="str">
        <x:v>direct</x:v>
      </x:c>
      <x:c r="G127" s="8" t="str">
        <x:v>pass</x:v>
      </x:c>
      <x:c r="H127" s="8" t="str">
        <x:v>not_applicable</x:v>
      </x:c>
      <x:c r="I127" s="8" t="str">
        <x:v>pass</x:v>
      </x:c>
      <x:c r="J127" s="8" t="str">
        <x:v>pass</x:v>
      </x:c>
      <x:c r="K127" s="8" t="str">
        <x:v>pass</x:v>
      </x:c>
      <x:c r="L127" s="8" t="str">
        <x:v>pass</x:v>
      </x:c>
      <x:c r="M127" s="11" t="str"/>
      <x:c r="N127" s="8" t="str">
        <x:v>approved</x:v>
      </x:c>
      <x:c r="O127" s="8" t="str">
        <x:v>Methee</x:v>
      </x:c>
      <x:c r="P127" s="9" t="str">
        <x:v>⁠2026-07-29T00:00:00+07:00</x:v>
      </x:c>
      <x:c r="Q127" s="10" t="n">
        <x:v>1</x:v>
      </x:c>
      <x:c r="R127" s="8" t="str">
        <x:v>body_map_recommendations</x:v>
      </x:c>
      <x:c r="S127" s="8" t="str">
        <x:v>4,8</x:v>
      </x:c>
    </x:row>
    <x:row r="128" ht="48" customHeight="1">
      <x:c r="A128" s="8" t="str">
        <x:v>act_reduce_weight.01</x:v>
      </x:c>
      <x:c r="B128" s="8" t="str">
        <x:v>act_reduce_weight</x:v>
      </x:c>
      <x:c r="C128" s="8" t="str">
        <x:v>recommendation</x:v>
      </x:c>
      <x:c r="D128" s="11" t="str">
        <x:v>ลดน้ำหนักที่ยก</x:v>
      </x:c>
      <x:c r="E128" s="11" t="str">
        <x:v>Reduce load weight.</x:v>
      </x:c>
      <x:c r="F128" s="8" t="str">
        <x:v>direct</x:v>
      </x:c>
      <x:c r="G128" s="8" t="str">
        <x:v>pass</x:v>
      </x:c>
      <x:c r="H128" s="8" t="str">
        <x:v>not_applicable</x:v>
      </x:c>
      <x:c r="I128" s="8" t="str">
        <x:v>pass</x:v>
      </x:c>
      <x:c r="J128" s="8" t="str">
        <x:v>pass</x:v>
      </x:c>
      <x:c r="K128" s="8" t="str">
        <x:v>pass</x:v>
      </x:c>
      <x:c r="L128" s="8" t="str">
        <x:v>pass</x:v>
      </x:c>
      <x:c r="M128" s="11" t="str"/>
      <x:c r="N128" s="8" t="str">
        <x:v>approved</x:v>
      </x:c>
      <x:c r="O128" s="8" t="str">
        <x:v>Methee</x:v>
      </x:c>
      <x:c r="P128" s="9" t="str">
        <x:v>⁠2026-07-29T00:00:00+07:00</x:v>
      </x:c>
      <x:c r="Q128" s="10" t="n">
        <x:v>1</x:v>
      </x:c>
      <x:c r="R128" s="8" t="str">
        <x:v>body_map_recommendations</x:v>
      </x:c>
      <x:c r="S128" s="8" t="str">
        <x:v>7-8</x:v>
      </x:c>
    </x:row>
    <x:row r="129" ht="48" customHeight="1">
      <x:c r="A129" s="8" t="str">
        <x:v>act_ref_weight_high.01</x:v>
      </x:c>
      <x:c r="B129" s="8" t="str">
        <x:v>act_ref_weight_high</x:v>
      </x:c>
      <x:c r="C129" s="8" t="str">
        <x:v>recommendation</x:v>
      </x:c>
      <x:c r="D129" s="11" t="str">
        <x:v>ลดน้ำหนักที่ยกทันที: ชาย 20-45 ปี ไม่เกิน 13 กก.</x:v>
      </x:c>
      <x:c r="E129" s="11" t="str">
        <x:v>Reduce lifting weight immediately: men aged 20-45 years should lift no more than 13 kg.</x:v>
      </x:c>
      <x:c r="F129" s="8" t="str">
        <x:v>direct</x:v>
      </x:c>
      <x:c r="G129" s="8" t="str">
        <x:v>pass</x:v>
      </x:c>
      <x:c r="H129" s="8" t="str">
        <x:v>pass</x:v>
      </x:c>
      <x:c r="I129" s="8" t="str">
        <x:v>pass</x:v>
      </x:c>
      <x:c r="J129" s="8" t="str">
        <x:v>pass</x:v>
      </x:c>
      <x:c r="K129" s="8" t="str">
        <x:v>pass</x:v>
      </x:c>
      <x:c r="L129" s="8" t="str">
        <x:v>pass</x:v>
      </x:c>
      <x:c r="M129" s="11" t="str"/>
      <x:c r="N129" s="8" t="str">
        <x:v>approved</x:v>
      </x:c>
      <x:c r="O129" s="8" t="str">
        <x:v>Methee</x:v>
      </x:c>
      <x:c r="P129" s="9" t="str">
        <x:v>⁠2026-07-29T00:00:00+07:00</x:v>
      </x:c>
      <x:c r="Q129" s="10" t="n">
        <x:v>1</x:v>
      </x:c>
      <x:c r="R129" s="8" t="str">
        <x:v>app_recommendations_v3</x:v>
      </x:c>
      <x:c r="S129" s="8" t="str">
        <x:v>1</x:v>
      </x:c>
    </x:row>
    <x:row r="130" ht="48" customHeight="1">
      <x:c r="A130" s="8" t="str">
        <x:v>act_ref_weight_high.02</x:v>
      </x:c>
      <x:c r="B130" s="8" t="str">
        <x:v>act_ref_weight_high</x:v>
      </x:c>
      <x:c r="C130" s="8" t="str">
        <x:v>recommendation</x:v>
      </x:c>
      <x:c r="D130" s="11" t="str">
        <x:v>ชายอายุต่ำกว่า 20 หรือมากกว่า 45 ปี ไม่เกิน 10 กก.</x:v>
      </x:c>
      <x:c r="E130" s="11" t="str">
        <x:v>Men under 20 or over 45 years should lift no more than 10 kg.</x:v>
      </x:c>
      <x:c r="F130" s="8" t="str">
        <x:v>direct</x:v>
      </x:c>
      <x:c r="G130" s="8" t="str">
        <x:v>pass</x:v>
      </x:c>
      <x:c r="H130" s="8" t="str">
        <x:v>pass</x:v>
      </x:c>
      <x:c r="I130" s="8" t="str">
        <x:v>pass</x:v>
      </x:c>
      <x:c r="J130" s="8" t="str">
        <x:v>pass</x:v>
      </x:c>
      <x:c r="K130" s="8" t="str">
        <x:v>pass</x:v>
      </x:c>
      <x:c r="L130" s="8" t="str">
        <x:v>pass</x:v>
      </x:c>
      <x:c r="M130" s="11" t="str"/>
      <x:c r="N130" s="8" t="str">
        <x:v>approved</x:v>
      </x:c>
      <x:c r="O130" s="8" t="str">
        <x:v>Methee</x:v>
      </x:c>
      <x:c r="P130" s="9" t="str">
        <x:v>⁠2026-07-29T00:00:00+07:00</x:v>
      </x:c>
      <x:c r="Q130" s="10" t="n">
        <x:v>1</x:v>
      </x:c>
      <x:c r="R130" s="8" t="str">
        <x:v>app_recommendations_v3</x:v>
      </x:c>
      <x:c r="S130" s="8" t="str">
        <x:v>1</x:v>
      </x:c>
    </x:row>
    <x:row r="131" ht="48" customHeight="1">
      <x:c r="A131" s="8" t="str">
        <x:v>act_ref_weight_high.03</x:v>
      </x:c>
      <x:c r="B131" s="8" t="str">
        <x:v>act_ref_weight_high</x:v>
      </x:c>
      <x:c r="C131" s="8" t="str">
        <x:v>recommendation</x:v>
      </x:c>
      <x:c r="D131" s="11" t="str">
        <x:v>หญิง 20-45 ปี ไม่เกิน 10 กก.</x:v>
      </x:c>
      <x:c r="E131" s="11" t="str">
        <x:v>Women aged 20-45 years should lift no more than 10 kg.</x:v>
      </x:c>
      <x:c r="F131" s="8" t="str">
        <x:v>direct</x:v>
      </x:c>
      <x:c r="G131" s="8" t="str">
        <x:v>pass</x:v>
      </x:c>
      <x:c r="H131" s="8" t="str">
        <x:v>pass</x:v>
      </x:c>
      <x:c r="I131" s="8" t="str">
        <x:v>pass</x:v>
      </x:c>
      <x:c r="J131" s="8" t="str">
        <x:v>pass</x:v>
      </x:c>
      <x:c r="K131" s="8" t="str">
        <x:v>pass</x:v>
      </x:c>
      <x:c r="L131" s="8" t="str">
        <x:v>pass</x:v>
      </x:c>
      <x:c r="M131" s="11" t="str"/>
      <x:c r="N131" s="8" t="str">
        <x:v>approved</x:v>
      </x:c>
      <x:c r="O131" s="8" t="str">
        <x:v>Methee</x:v>
      </x:c>
      <x:c r="P131" s="9" t="str">
        <x:v>⁠2026-07-29T00:00:00+07:00</x:v>
      </x:c>
      <x:c r="Q131" s="10" t="n">
        <x:v>1</x:v>
      </x:c>
      <x:c r="R131" s="8" t="str">
        <x:v>app_recommendations_v3</x:v>
      </x:c>
      <x:c r="S131" s="8" t="str">
        <x:v>1</x:v>
      </x:c>
    </x:row>
    <x:row r="132" ht="48" customHeight="1">
      <x:c r="A132" s="8" t="str">
        <x:v>act_ref_weight_high.04</x:v>
      </x:c>
      <x:c r="B132" s="8" t="str">
        <x:v>act_ref_weight_high</x:v>
      </x:c>
      <x:c r="C132" s="8" t="str">
        <x:v>recommendation</x:v>
      </x:c>
      <x:c r="D132" s="11" t="str">
        <x:v>หญิงอายุต่ำกว่า 20 หรือมากกว่า 45 ปี ไม่เกิน 8 กก.</x:v>
      </x:c>
      <x:c r="E132" s="11" t="str">
        <x:v>Women under 20 or over 45 years should lift no more than 8 kg.</x:v>
      </x:c>
      <x:c r="F132" s="8" t="str">
        <x:v>direct</x:v>
      </x:c>
      <x:c r="G132" s="8" t="str">
        <x:v>pass</x:v>
      </x:c>
      <x:c r="H132" s="8" t="str">
        <x:v>pass</x:v>
      </x:c>
      <x:c r="I132" s="8" t="str">
        <x:v>pass</x:v>
      </x:c>
      <x:c r="J132" s="8" t="str">
        <x:v>pass</x:v>
      </x:c>
      <x:c r="K132" s="8" t="str">
        <x:v>pass</x:v>
      </x:c>
      <x:c r="L132" s="8" t="str">
        <x:v>pass</x:v>
      </x:c>
      <x:c r="M132" s="11" t="str"/>
      <x:c r="N132" s="8" t="str">
        <x:v>approved</x:v>
      </x:c>
      <x:c r="O132" s="8" t="str">
        <x:v>Methee</x:v>
      </x:c>
      <x:c r="P132" s="9" t="str">
        <x:v>⁠2026-07-29T00:00:00+07:00</x:v>
      </x:c>
      <x:c r="Q132" s="10" t="n">
        <x:v>1</x:v>
      </x:c>
      <x:c r="R132" s="8" t="str">
        <x:v>app_recommendations_v3</x:v>
      </x:c>
      <x:c r="S132" s="8" t="str">
        <x:v>1</x:v>
      </x:c>
    </x:row>
    <x:row r="133" ht="48" customHeight="1">
      <x:c r="A133" s="8" t="str">
        <x:v>act_ref_weight_high.05</x:v>
      </x:c>
      <x:c r="B133" s="8" t="str">
        <x:v>act_ref_weight_high</x:v>
      </x:c>
      <x:c r="C133" s="8" t="str">
        <x:v>recommendation</x:v>
      </x:c>
      <x:c r="D133" s="11" t="str">
        <x:v>ถ้าเกินนี้ให้ใช้อุปกรณ์ช่วย</x:v>
      </x:c>
      <x:c r="E133" s="11" t="str">
        <x:v>Use a handling aid if the load exceeds these limits.</x:v>
      </x:c>
      <x:c r="F133" s="8" t="str">
        <x:v>direct</x:v>
      </x:c>
      <x:c r="G133" s="8" t="str">
        <x:v>pass</x:v>
      </x:c>
      <x:c r="H133" s="8" t="str">
        <x:v>not_applicable</x:v>
      </x:c>
      <x:c r="I133" s="8" t="str">
        <x:v>pass</x:v>
      </x:c>
      <x:c r="J133" s="8" t="str">
        <x:v>pass</x:v>
      </x:c>
      <x:c r="K133" s="8" t="str">
        <x:v>pass</x:v>
      </x:c>
      <x:c r="L133" s="8" t="str">
        <x:v>pass</x:v>
      </x:c>
      <x:c r="M133" s="11" t="str"/>
      <x:c r="N133" s="8" t="str">
        <x:v>approved</x:v>
      </x:c>
      <x:c r="O133" s="8" t="str">
        <x:v>Methee</x:v>
      </x:c>
      <x:c r="P133" s="9" t="str">
        <x:v>⁠2026-07-29T00:00:00+07:00</x:v>
      </x:c>
      <x:c r="Q133" s="10" t="n">
        <x:v>1</x:v>
      </x:c>
      <x:c r="R133" s="8" t="str">
        <x:v>app_recommendations_v3</x:v>
      </x:c>
      <x:c r="S133" s="8" t="str">
        <x:v>1</x:v>
      </x:c>
    </x:row>
    <x:row r="134" ht="48" customHeight="1">
      <x:c r="A134" s="8" t="str">
        <x:v>act_ref_weight_low.01</x:v>
      </x:c>
      <x:c r="B134" s="8" t="str">
        <x:v>act_ref_weight_low</x:v>
      </x:c>
      <x:c r="C134" s="8" t="str">
        <x:v>recommendation</x:v>
      </x:c>
      <x:c r="D134" s="11" t="str">
        <x:v>ตรวจสอบน้ำหนักที่ยก: ชาย 20-45 ปี ไม่เกิน 25 กก.</x:v>
      </x:c>
      <x:c r="E134" s="11" t="str">
        <x:v>Check lifting weight: men aged 20-45 years should lift no more than 25 kg.</x:v>
      </x:c>
      <x:c r="F134" s="8" t="str">
        <x:v>direct</x:v>
      </x:c>
      <x:c r="G134" s="8" t="str">
        <x:v>pass</x:v>
      </x:c>
      <x:c r="H134" s="8" t="str">
        <x:v>pass</x:v>
      </x:c>
      <x:c r="I134" s="8" t="str">
        <x:v>pass</x:v>
      </x:c>
      <x:c r="J134" s="8" t="str">
        <x:v>pass</x:v>
      </x:c>
      <x:c r="K134" s="8" t="str">
        <x:v>pass</x:v>
      </x:c>
      <x:c r="L134" s="8" t="str">
        <x:v>pass</x:v>
      </x:c>
      <x:c r="M134" s="11" t="str"/>
      <x:c r="N134" s="8" t="str">
        <x:v>approved</x:v>
      </x:c>
      <x:c r="O134" s="8" t="str">
        <x:v>Methee</x:v>
      </x:c>
      <x:c r="P134" s="9" t="str">
        <x:v>⁠2026-07-29T00:00:00+07:00</x:v>
      </x:c>
      <x:c r="Q134" s="10" t="n">
        <x:v>1</x:v>
      </x:c>
      <x:c r="R134" s="8" t="str">
        <x:v>app_recommendations_v3</x:v>
      </x:c>
      <x:c r="S134" s="8" t="str">
        <x:v>1</x:v>
      </x:c>
    </x:row>
    <x:row r="135" ht="48" customHeight="1">
      <x:c r="A135" s="8" t="str">
        <x:v>act_ref_weight_low.02</x:v>
      </x:c>
      <x:c r="B135" s="8" t="str">
        <x:v>act_ref_weight_low</x:v>
      </x:c>
      <x:c r="C135" s="8" t="str">
        <x:v>recommendation</x:v>
      </x:c>
      <x:c r="D135" s="11" t="str">
        <x:v>ชายอายุต่ำกว่า 20 หรือมากกว่า 45 ปี ไม่เกิน 20 กก.</x:v>
      </x:c>
      <x:c r="E135" s="11" t="str">
        <x:v>Men under 20 or over 45 years should lift no more than 20 kg.</x:v>
      </x:c>
      <x:c r="F135" s="8" t="str">
        <x:v>direct</x:v>
      </x:c>
      <x:c r="G135" s="8" t="str">
        <x:v>pass</x:v>
      </x:c>
      <x:c r="H135" s="8" t="str">
        <x:v>pass</x:v>
      </x:c>
      <x:c r="I135" s="8" t="str">
        <x:v>pass</x:v>
      </x:c>
      <x:c r="J135" s="8" t="str">
        <x:v>pass</x:v>
      </x:c>
      <x:c r="K135" s="8" t="str">
        <x:v>pass</x:v>
      </x:c>
      <x:c r="L135" s="8" t="str">
        <x:v>pass</x:v>
      </x:c>
      <x:c r="M135" s="11" t="str"/>
      <x:c r="N135" s="8" t="str">
        <x:v>approved</x:v>
      </x:c>
      <x:c r="O135" s="8" t="str">
        <x:v>Methee</x:v>
      </x:c>
      <x:c r="P135" s="9" t="str">
        <x:v>⁠2026-07-29T00:00:00+07:00</x:v>
      </x:c>
      <x:c r="Q135" s="10" t="n">
        <x:v>1</x:v>
      </x:c>
      <x:c r="R135" s="8" t="str">
        <x:v>app_recommendations_v3</x:v>
      </x:c>
      <x:c r="S135" s="8" t="str">
        <x:v>1</x:v>
      </x:c>
    </x:row>
    <x:row r="136" ht="48" customHeight="1">
      <x:c r="A136" s="8" t="str">
        <x:v>act_ref_weight_low.03</x:v>
      </x:c>
      <x:c r="B136" s="8" t="str">
        <x:v>act_ref_weight_low</x:v>
      </x:c>
      <x:c r="C136" s="8" t="str">
        <x:v>recommendation</x:v>
      </x:c>
      <x:c r="D136" s="11" t="str">
        <x:v>หญิง 20-45 ปี ไม่เกิน 20 กก.</x:v>
      </x:c>
      <x:c r="E136" s="11" t="str">
        <x:v>Women aged 20-45 years should lift no more than 20 kg.</x:v>
      </x:c>
      <x:c r="F136" s="8" t="str">
        <x:v>direct</x:v>
      </x:c>
      <x:c r="G136" s="8" t="str">
        <x:v>pass</x:v>
      </x:c>
      <x:c r="H136" s="8" t="str">
        <x:v>pass</x:v>
      </x:c>
      <x:c r="I136" s="8" t="str">
        <x:v>pass</x:v>
      </x:c>
      <x:c r="J136" s="8" t="str">
        <x:v>pass</x:v>
      </x:c>
      <x:c r="K136" s="8" t="str">
        <x:v>pass</x:v>
      </x:c>
      <x:c r="L136" s="8" t="str">
        <x:v>pass</x:v>
      </x:c>
      <x:c r="M136" s="11" t="str"/>
      <x:c r="N136" s="8" t="str">
        <x:v>approved</x:v>
      </x:c>
      <x:c r="O136" s="8" t="str">
        <x:v>Methee</x:v>
      </x:c>
      <x:c r="P136" s="9" t="str">
        <x:v>⁠2026-07-29T00:00:00+07:00</x:v>
      </x:c>
      <x:c r="Q136" s="10" t="n">
        <x:v>1</x:v>
      </x:c>
      <x:c r="R136" s="8" t="str">
        <x:v>app_recommendations_v3</x:v>
      </x:c>
      <x:c r="S136" s="8" t="str">
        <x:v>1</x:v>
      </x:c>
    </x:row>
    <x:row r="137" ht="48" customHeight="1">
      <x:c r="A137" s="8" t="str">
        <x:v>act_ref_weight_low.04</x:v>
      </x:c>
      <x:c r="B137" s="8" t="str">
        <x:v>act_ref_weight_low</x:v>
      </x:c>
      <x:c r="C137" s="8" t="str">
        <x:v>recommendation</x:v>
      </x:c>
      <x:c r="D137" s="11" t="str">
        <x:v>หญิงอายุต่ำกว่า 20 หรือมากกว่า 45 ปี ไม่เกิน 15 กก.</x:v>
      </x:c>
      <x:c r="E137" s="11" t="str">
        <x:v>Women under 20 or over 45 years should lift no more than 15 kg.</x:v>
      </x:c>
      <x:c r="F137" s="8" t="str">
        <x:v>direct</x:v>
      </x:c>
      <x:c r="G137" s="8" t="str">
        <x:v>pass</x:v>
      </x:c>
      <x:c r="H137" s="8" t="str">
        <x:v>pass</x:v>
      </x:c>
      <x:c r="I137" s="8" t="str">
        <x:v>pass</x:v>
      </x:c>
      <x:c r="J137" s="8" t="str">
        <x:v>pass</x:v>
      </x:c>
      <x:c r="K137" s="8" t="str">
        <x:v>pass</x:v>
      </x:c>
      <x:c r="L137" s="8" t="str">
        <x:v>pass</x:v>
      </x:c>
      <x:c r="M137" s="11" t="str"/>
      <x:c r="N137" s="8" t="str">
        <x:v>approved</x:v>
      </x:c>
      <x:c r="O137" s="8" t="str">
        <x:v>Methee</x:v>
      </x:c>
      <x:c r="P137" s="9" t="str">
        <x:v>⁠2026-07-29T00:00:00+07:00</x:v>
      </x:c>
      <x:c r="Q137" s="10" t="n">
        <x:v>1</x:v>
      </x:c>
      <x:c r="R137" s="8" t="str">
        <x:v>app_recommendations_v3</x:v>
      </x:c>
      <x:c r="S137" s="8" t="str">
        <x:v>1</x:v>
      </x:c>
    </x:row>
    <x:row r="138" ht="48" customHeight="1">
      <x:c r="A138" s="8" t="str">
        <x:v>act_ref_weight_medium.01</x:v>
      </x:c>
      <x:c r="B138" s="8" t="str">
        <x:v>act_ref_weight_medium</x:v>
      </x:c>
      <x:c r="C138" s="8" t="str">
        <x:v>recommendation</x:v>
      </x:c>
      <x:c r="D138" s="11" t="str">
        <x:v>ปรับน้ำหนักที่ยก: ชาย 20-45 ปี ไม่เกิน 18 กก.</x:v>
      </x:c>
      <x:c r="E138" s="11" t="str">
        <x:v>Reduce lifting weight: men aged 20-45 years should lift no more than 18 kg.</x:v>
      </x:c>
      <x:c r="F138" s="8" t="str">
        <x:v>direct</x:v>
      </x:c>
      <x:c r="G138" s="8" t="str">
        <x:v>pass</x:v>
      </x:c>
      <x:c r="H138" s="8" t="str">
        <x:v>pass</x:v>
      </x:c>
      <x:c r="I138" s="8" t="str">
        <x:v>pass</x:v>
      </x:c>
      <x:c r="J138" s="8" t="str">
        <x:v>pass</x:v>
      </x:c>
      <x:c r="K138" s="8" t="str">
        <x:v>pass</x:v>
      </x:c>
      <x:c r="L138" s="8" t="str">
        <x:v>pass</x:v>
      </x:c>
      <x:c r="M138" s="11" t="str"/>
      <x:c r="N138" s="8" t="str">
        <x:v>approved</x:v>
      </x:c>
      <x:c r="O138" s="8" t="str">
        <x:v>Methee</x:v>
      </x:c>
      <x:c r="P138" s="9" t="str">
        <x:v>⁠2026-07-29T00:00:00+07:00</x:v>
      </x:c>
      <x:c r="Q138" s="10" t="n">
        <x:v>1</x:v>
      </x:c>
      <x:c r="R138" s="8" t="str">
        <x:v>app_recommendations_v3</x:v>
      </x:c>
      <x:c r="S138" s="8" t="str">
        <x:v>1</x:v>
      </x:c>
    </x:row>
    <x:row r="139" ht="48" customHeight="1">
      <x:c r="A139" s="8" t="str">
        <x:v>act_ref_weight_medium.02</x:v>
      </x:c>
      <x:c r="B139" s="8" t="str">
        <x:v>act_ref_weight_medium</x:v>
      </x:c>
      <x:c r="C139" s="8" t="str">
        <x:v>recommendation</x:v>
      </x:c>
      <x:c r="D139" s="11" t="str">
        <x:v>ชายอายุต่ำกว่า 20 หรือมากกว่า 45 ปี ไม่เกิน 15 กก.</x:v>
      </x:c>
      <x:c r="E139" s="11" t="str">
        <x:v>Men under 20 or over 45 years should lift no more than 15 kg.</x:v>
      </x:c>
      <x:c r="F139" s="8" t="str">
        <x:v>direct</x:v>
      </x:c>
      <x:c r="G139" s="8" t="str">
        <x:v>pass</x:v>
      </x:c>
      <x:c r="H139" s="8" t="str">
        <x:v>pass</x:v>
      </x:c>
      <x:c r="I139" s="8" t="str">
        <x:v>pass</x:v>
      </x:c>
      <x:c r="J139" s="8" t="str">
        <x:v>pass</x:v>
      </x:c>
      <x:c r="K139" s="8" t="str">
        <x:v>pass</x:v>
      </x:c>
      <x:c r="L139" s="8" t="str">
        <x:v>pass</x:v>
      </x:c>
      <x:c r="M139" s="11" t="str"/>
      <x:c r="N139" s="8" t="str">
        <x:v>approved</x:v>
      </x:c>
      <x:c r="O139" s="8" t="str">
        <x:v>Methee</x:v>
      </x:c>
      <x:c r="P139" s="9" t="str">
        <x:v>⁠2026-07-29T00:00:00+07:00</x:v>
      </x:c>
      <x:c r="Q139" s="10" t="n">
        <x:v>1</x:v>
      </x:c>
      <x:c r="R139" s="8" t="str">
        <x:v>app_recommendations_v3</x:v>
      </x:c>
      <x:c r="S139" s="8" t="str">
        <x:v>1</x:v>
      </x:c>
    </x:row>
    <x:row r="140" ht="48" customHeight="1">
      <x:c r="A140" s="8" t="str">
        <x:v>act_ref_weight_medium.03</x:v>
      </x:c>
      <x:c r="B140" s="8" t="str">
        <x:v>act_ref_weight_medium</x:v>
      </x:c>
      <x:c r="C140" s="8" t="str">
        <x:v>recommendation</x:v>
      </x:c>
      <x:c r="D140" s="11" t="str">
        <x:v>หญิง 20-45 ปี ไม่เกิน 15 กก.</x:v>
      </x:c>
      <x:c r="E140" s="11" t="str">
        <x:v>Women aged 20-45 years should lift no more than 15 kg.</x:v>
      </x:c>
      <x:c r="F140" s="8" t="str">
        <x:v>direct</x:v>
      </x:c>
      <x:c r="G140" s="8" t="str">
        <x:v>pass</x:v>
      </x:c>
      <x:c r="H140" s="8" t="str">
        <x:v>pass</x:v>
      </x:c>
      <x:c r="I140" s="8" t="str">
        <x:v>pass</x:v>
      </x:c>
      <x:c r="J140" s="8" t="str">
        <x:v>pass</x:v>
      </x:c>
      <x:c r="K140" s="8" t="str">
        <x:v>pass</x:v>
      </x:c>
      <x:c r="L140" s="8" t="str">
        <x:v>pass</x:v>
      </x:c>
      <x:c r="M140" s="11" t="str"/>
      <x:c r="N140" s="8" t="str">
        <x:v>approved</x:v>
      </x:c>
      <x:c r="O140" s="8" t="str">
        <x:v>Methee</x:v>
      </x:c>
      <x:c r="P140" s="9" t="str">
        <x:v>⁠2026-07-29T00:00:00+07:00</x:v>
      </x:c>
      <x:c r="Q140" s="10" t="n">
        <x:v>1</x:v>
      </x:c>
      <x:c r="R140" s="8" t="str">
        <x:v>app_recommendations_v3</x:v>
      </x:c>
      <x:c r="S140" s="8" t="str">
        <x:v>1</x:v>
      </x:c>
    </x:row>
    <x:row r="141" ht="48" customHeight="1">
      <x:c r="A141" s="8" t="str">
        <x:v>act_ref_weight_medium.04</x:v>
      </x:c>
      <x:c r="B141" s="8" t="str">
        <x:v>act_ref_weight_medium</x:v>
      </x:c>
      <x:c r="C141" s="8" t="str">
        <x:v>recommendation</x:v>
      </x:c>
      <x:c r="D141" s="11" t="str">
        <x:v>หญิงอายุต่ำกว่า 20 หรือมากกว่า 45 ปี ไม่เกิน 11 กก.</x:v>
      </x:c>
      <x:c r="E141" s="11" t="str">
        <x:v>Women under 20 or over 45 years should lift no more than 11 kg.</x:v>
      </x:c>
      <x:c r="F141" s="8" t="str">
        <x:v>direct</x:v>
      </x:c>
      <x:c r="G141" s="8" t="str">
        <x:v>pass</x:v>
      </x:c>
      <x:c r="H141" s="8" t="str">
        <x:v>pass</x:v>
      </x:c>
      <x:c r="I141" s="8" t="str">
        <x:v>pass</x:v>
      </x:c>
      <x:c r="J141" s="8" t="str">
        <x:v>pass</x:v>
      </x:c>
      <x:c r="K141" s="8" t="str">
        <x:v>pass</x:v>
      </x:c>
      <x:c r="L141" s="8" t="str">
        <x:v>pass</x:v>
      </x:c>
      <x:c r="M141" s="11" t="str"/>
      <x:c r="N141" s="8" t="str">
        <x:v>approved</x:v>
      </x:c>
      <x:c r="O141" s="8" t="str">
        <x:v>Methee</x:v>
      </x:c>
      <x:c r="P141" s="9" t="str">
        <x:v>⁠2026-07-29T00:00:00+07:00</x:v>
      </x:c>
      <x:c r="Q141" s="10" t="n">
        <x:v>1</x:v>
      </x:c>
      <x:c r="R141" s="8" t="str">
        <x:v>app_recommendations_v3</x:v>
      </x:c>
      <x:c r="S141" s="8" t="str">
        <x:v>1</x:v>
      </x:c>
    </x:row>
    <x:row r="142" ht="48" customHeight="1">
      <x:c r="A142" s="8" t="str">
        <x:v>act_rest_stretch.01</x:v>
      </x:c>
      <x:c r="B142" s="8" t="str">
        <x:v>act_rest_stretch</x:v>
      </x:c>
      <x:c r="C142" s="8" t="str">
        <x:v>recommendation</x:v>
      </x:c>
      <x:c r="D142" s="11" t="str">
        <x:v>ควรพักเบรกเพื่อยืดเหยียดกล้ามเนื้อ</x:v>
      </x:c>
      <x:c r="E142" s="11" t="str">
        <x:v>Take breaks to stretch muscles.</x:v>
      </x:c>
      <x:c r="F142" s="8" t="str">
        <x:v>direct</x:v>
      </x:c>
      <x:c r="G142" s="8" t="str">
        <x:v>pass</x:v>
      </x:c>
      <x:c r="H142" s="8" t="str">
        <x:v>not_applicable</x:v>
      </x:c>
      <x:c r="I142" s="8" t="str">
        <x:v>pass</x:v>
      </x:c>
      <x:c r="J142" s="8" t="str">
        <x:v>pass</x:v>
      </x:c>
      <x:c r="K142" s="8" t="str">
        <x:v>pass</x:v>
      </x:c>
      <x:c r="L142" s="8" t="str">
        <x:v>pass</x:v>
      </x:c>
      <x:c r="M142" s="11" t="str"/>
      <x:c r="N142" s="8" t="str">
        <x:v>approved</x:v>
      </x:c>
      <x:c r="O142" s="8" t="str">
        <x:v>Methee</x:v>
      </x:c>
      <x:c r="P142" s="9" t="str">
        <x:v>⁠2026-07-29T00:00:00+07:00</x:v>
      </x:c>
      <x:c r="Q142" s="10" t="n">
        <x:v>1</x:v>
      </x:c>
      <x:c r="R142" s="8" t="str">
        <x:v>ilo_ergonomic_checkpoints_agriculture</x:v>
      </x:c>
      <x:c r="S142" s="8" t="str">
        <x:v>243</x:v>
      </x:c>
    </x:row>
    <x:row r="143" ht="48" customHeight="1">
      <x:c r="A143" s="8" t="str">
        <x:v>act_spray_extension.01</x:v>
      </x:c>
      <x:c r="B143" s="8" t="str">
        <x:v>act_spray_extension</x:v>
      </x:c>
      <x:c r="C143" s="8" t="str">
        <x:v>recommendation</x:v>
      </x:c>
      <x:c r="D143" s="11" t="str">
        <x:v>ใช้ด้ามต่อหัวพ่น เพื่อลดการยกแขนสูงหรือเอื้อมไกล</x:v>
      </x:c>
      <x:c r="E143" s="11" t="str">
        <x:v>Use an extension wand so the arm does not stay raised or overreached.</x:v>
      </x:c>
      <x:c r="F143" s="8" t="str">
        <x:v>direct</x:v>
      </x:c>
      <x:c r="G143" s="8" t="str">
        <x:v>pass</x:v>
      </x:c>
      <x:c r="H143" s="8" t="str">
        <x:v>not_applicable</x:v>
      </x:c>
      <x:c r="I143" s="8" t="str">
        <x:v>pass</x:v>
      </x:c>
      <x:c r="J143" s="8" t="str">
        <x:v>pass</x:v>
      </x:c>
      <x:c r="K143" s="8" t="str">
        <x:v>pass</x:v>
      </x:c>
      <x:c r="L143" s="8" t="str">
        <x:v>pass</x:v>
      </x:c>
      <x:c r="M143" s="11" t="str"/>
      <x:c r="N143" s="8" t="str">
        <x:v>approved</x:v>
      </x:c>
      <x:c r="O143" s="8" t="str">
        <x:v>Methee</x:v>
      </x:c>
      <x:c r="P143" s="9" t="str">
        <x:v>⁠2026-07-29T00:00:00+07:00</x:v>
      </x:c>
      <x:c r="Q143" s="10" t="n">
        <x:v>1</x:v>
      </x:c>
      <x:c r="R143" s="8" t="str">
        <x:v>app_recommendations_v3</x:v>
      </x:c>
      <x:c r="S143" s="8" t="str">
        <x:v>2</x:v>
      </x:c>
    </x:row>
    <x:row r="144" ht="48" customHeight="1">
      <x:c r="A144" s="8" t="str">
        <x:v>act_transplant_low_stool.01</x:v>
      </x:c>
      <x:c r="B144" s="8" t="str">
        <x:v>act_transplant_low_stool</x:v>
      </x:c>
      <x:c r="C144" s="8" t="str">
        <x:v>recommendation</x:v>
      </x:c>
      <x:c r="D144" s="11" t="str">
        <x:v>ใช้เก้าอี้เตี้ยหรือเบาะรองเข่า แทนการนั่งยองนาน ๆ</x:v>
      </x:c>
      <x:c r="E144" s="11" t="str">
        <x:v>Use a low stool or knee pad instead of squatting for long periods.</x:v>
      </x:c>
      <x:c r="F144" s="8" t="str">
        <x:v>direct</x:v>
      </x:c>
      <x:c r="G144" s="8" t="str">
        <x:v>pass</x:v>
      </x:c>
      <x:c r="H144" s="8" t="str">
        <x:v>not_applicable</x:v>
      </x:c>
      <x:c r="I144" s="8" t="str">
        <x:v>pass</x:v>
      </x:c>
      <x:c r="J144" s="8" t="str">
        <x:v>pass</x:v>
      </x:c>
      <x:c r="K144" s="8" t="str">
        <x:v>pass</x:v>
      </x:c>
      <x:c r="L144" s="8" t="str">
        <x:v>pass</x:v>
      </x:c>
      <x:c r="M144" s="11" t="str"/>
      <x:c r="N144" s="8" t="str">
        <x:v>approved</x:v>
      </x:c>
      <x:c r="O144" s="8" t="str">
        <x:v>Methee</x:v>
      </x:c>
      <x:c r="P144" s="9" t="str">
        <x:v>⁠2026-07-29T00:00:00+07:00</x:v>
      </x:c>
      <x:c r="Q144" s="10" t="n">
        <x:v>1</x:v>
      </x:c>
      <x:c r="R144" s="8" t="str">
        <x:v>app_recommendations_v3</x:v>
      </x:c>
      <x:c r="S144" s="8" t="str">
        <x:v>1</x:v>
      </x:c>
    </x:row>
    <x:row r="145" ht="48" customHeight="1">
      <x:c r="A145" s="8" t="str">
        <x:v>act_transplant_raise_bed.01</x:v>
      </x:c>
      <x:c r="B145" s="8" t="str">
        <x:v>act_transplant_raise_bed</x:v>
      </x:c>
      <x:c r="C145" s="8" t="str">
        <x:v>recommendation</x:v>
      </x:c>
      <x:c r="D145" s="11" t="str">
        <x:v>ยกถาดกล้าหรือพื้นที่ทำงานให้สูงขึ้น เพื่อลดการก้มหลังลึก</x:v>
      </x:c>
      <x:c r="E145" s="11" t="str">
        <x:v>Raise seedling trays or work height to reduce deep bending.</x:v>
      </x:c>
      <x:c r="F145" s="8" t="str">
        <x:v>direct</x:v>
      </x:c>
      <x:c r="G145" s="8" t="str">
        <x:v>pass</x:v>
      </x:c>
      <x:c r="H145" s="8" t="str">
        <x:v>not_applicable</x:v>
      </x:c>
      <x:c r="I145" s="8" t="str">
        <x:v>pass</x:v>
      </x:c>
      <x:c r="J145" s="8" t="str">
        <x:v>pass</x:v>
      </x:c>
      <x:c r="K145" s="8" t="str">
        <x:v>pass</x:v>
      </x:c>
      <x:c r="L145" s="8" t="str">
        <x:v>pass</x:v>
      </x:c>
      <x:c r="M145" s="11" t="str"/>
      <x:c r="N145" s="8" t="str">
        <x:v>approved</x:v>
      </x:c>
      <x:c r="O145" s="8" t="str">
        <x:v>Methee</x:v>
      </x:c>
      <x:c r="P145" s="9" t="str">
        <x:v>⁠2026-07-29T00:00:00+07:00</x:v>
      </x:c>
      <x:c r="Q145" s="10" t="n">
        <x:v>1</x:v>
      </x:c>
      <x:c r="R145" s="8" t="str">
        <x:v>app_recommendations_v3</x:v>
      </x:c>
      <x:c r="S145" s="8" t="str">
        <x:v>1</x:v>
      </x:c>
    </x:row>
    <x:row r="146" ht="48" customHeight="1">
      <x:c r="A146" s="8" t="str">
        <x:v>act_transplant_ref_high.01</x:v>
      </x:c>
      <x:c r="B146" s="8" t="str">
        <x:v>act_transplant_ref_high</x:v>
      </x:c>
      <x:c r="C146" s="8" t="str">
        <x:v>recommendation</x:v>
      </x:c>
      <x:c r="D146" s="11" t="str">
        <x:v>ปรับปรุงทันทีโดยยกแปลงเพาะชำให้สูงระดับเอว</x:v>
      </x:c>
      <x:c r="E146" s="11" t="str">
        <x:v>Improve the task immediately by raising the seedling bed to waist height.</x:v>
      </x:c>
      <x:c r="F146" s="8" t="str">
        <x:v>direct</x:v>
      </x:c>
      <x:c r="G146" s="8" t="str">
        <x:v>pass</x:v>
      </x:c>
      <x:c r="H146" s="8" t="str">
        <x:v>not_applicable</x:v>
      </x:c>
      <x:c r="I146" s="8" t="str">
        <x:v>pass</x:v>
      </x:c>
      <x:c r="J146" s="8" t="str">
        <x:v>pass</x:v>
      </x:c>
      <x:c r="K146" s="8" t="str">
        <x:v>pass</x:v>
      </x:c>
      <x:c r="L146" s="8" t="str">
        <x:v>pass</x:v>
      </x:c>
      <x:c r="M146" s="11" t="str"/>
      <x:c r="N146" s="8" t="str">
        <x:v>approved</x:v>
      </x:c>
      <x:c r="O146" s="8" t="str">
        <x:v>Methee</x:v>
      </x:c>
      <x:c r="P146" s="9" t="str">
        <x:v>⁠2026-07-29T00:00:00+07:00</x:v>
      </x:c>
      <x:c r="Q146" s="10" t="n">
        <x:v>1</x:v>
      </x:c>
      <x:c r="R146" s="8" t="str">
        <x:v>app_recommendations_v3</x:v>
      </x:c>
      <x:c r="S146" s="8" t="str">
        <x:v>1</x:v>
      </x:c>
    </x:row>
    <x:row r="147" ht="48" customHeight="1">
      <x:c r="A147" s="8" t="str">
        <x:v>act_transplant_ref_high.02</x:v>
      </x:c>
      <x:c r="B147" s="8" t="str">
        <x:v>act_transplant_ref_high</x:v>
      </x:c>
      <x:c r="C147" s="8" t="str">
        <x:v>recommendation</x:v>
      </x:c>
      <x:c r="D147" s="11" t="str">
        <x:v>ใช้อุปกรณ์นั่งยองหรือเก้าอี้เตี้ย</x:v>
      </x:c>
      <x:c r="E147" s="11" t="str">
        <x:v>Use a squatting support or low stool.</x:v>
      </x:c>
      <x:c r="F147" s="8" t="str">
        <x:v>direct</x:v>
      </x:c>
      <x:c r="G147" s="8" t="str">
        <x:v>pass</x:v>
      </x:c>
      <x:c r="H147" s="8" t="str">
        <x:v>not_applicable</x:v>
      </x:c>
      <x:c r="I147" s="8" t="str">
        <x:v>pass</x:v>
      </x:c>
      <x:c r="J147" s="8" t="str">
        <x:v>pass</x:v>
      </x:c>
      <x:c r="K147" s="8" t="str">
        <x:v>pass</x:v>
      </x:c>
      <x:c r="L147" s="8" t="str">
        <x:v>pass</x:v>
      </x:c>
      <x:c r="M147" s="11" t="str"/>
      <x:c r="N147" s="8" t="str">
        <x:v>approved</x:v>
      </x:c>
      <x:c r="O147" s="8" t="str">
        <x:v>Methee</x:v>
      </x:c>
      <x:c r="P147" s="9" t="str">
        <x:v>⁠2026-07-29T00:00:00+07:00</x:v>
      </x:c>
      <x:c r="Q147" s="10" t="n">
        <x:v>1</x:v>
      </x:c>
      <x:c r="R147" s="8" t="str">
        <x:v>app_recommendations_v3</x:v>
      </x:c>
      <x:c r="S147" s="8" t="str">
        <x:v>1</x:v>
      </x:c>
    </x:row>
    <x:row r="148" ht="48" customHeight="1">
      <x:c r="A148" s="8" t="str">
        <x:v>act_transplant_ref_high.03</x:v>
      </x:c>
      <x:c r="B148" s="8" t="str">
        <x:v>act_transplant_ref_high</x:v>
      </x:c>
      <x:c r="C148" s="8" t="str">
        <x:v>recommendation</x:v>
      </x:c>
      <x:c r="D148" s="11" t="str">
        <x:v>พักทุก 15-20 นาที</x:v>
      </x:c>
      <x:c r="E148" s="11" t="str">
        <x:v>Take a break every 15-20 minutes.</x:v>
      </x:c>
      <x:c r="F148" s="8" t="str">
        <x:v>direct</x:v>
      </x:c>
      <x:c r="G148" s="8" t="str">
        <x:v>pass</x:v>
      </x:c>
      <x:c r="H148" s="8" t="str">
        <x:v>pass</x:v>
      </x:c>
      <x:c r="I148" s="8" t="str">
        <x:v>pass</x:v>
      </x:c>
      <x:c r="J148" s="8" t="str">
        <x:v>pass</x:v>
      </x:c>
      <x:c r="K148" s="8" t="str">
        <x:v>pass</x:v>
      </x:c>
      <x:c r="L148" s="8" t="str">
        <x:v>pass</x:v>
      </x:c>
      <x:c r="M148" s="11" t="str"/>
      <x:c r="N148" s="8" t="str">
        <x:v>approved</x:v>
      </x:c>
      <x:c r="O148" s="8" t="str">
        <x:v>Methee</x:v>
      </x:c>
      <x:c r="P148" s="9" t="str">
        <x:v>⁠2026-07-29T00:00:00+07:00</x:v>
      </x:c>
      <x:c r="Q148" s="10" t="n">
        <x:v>1</x:v>
      </x:c>
      <x:c r="R148" s="8" t="str">
        <x:v>app_recommendations_v3</x:v>
      </x:c>
      <x:c r="S148" s="8" t="str">
        <x:v>1</x:v>
      </x:c>
    </x:row>
    <x:row r="149" ht="48" customHeight="1">
      <x:c r="A149" s="8" t="str">
        <x:v>act_transplant_ref_low.01</x:v>
      </x:c>
      <x:c r="B149" s="8" t="str">
        <x:v>act_transplant_ref_low</x:v>
      </x:c>
      <x:c r="C149" s="8" t="str">
        <x:v>recommendation</x:v>
      </x:c>
      <x:c r="D149" s="11" t="str">
        <x:v>ท่าทางดีอยู่แล้ว ควรสลับยืนกับนั่งยองทุก 20 นาที</x:v>
      </x:c>
      <x:c r="E149" s="11" t="str">
        <x:v>The posture is acceptable; alternate between standing and squatting every 20 minutes.</x:v>
      </x:c>
      <x:c r="F149" s="8" t="str">
        <x:v>direct</x:v>
      </x:c>
      <x:c r="G149" s="8" t="str">
        <x:v>pass</x:v>
      </x:c>
      <x:c r="H149" s="8" t="str">
        <x:v>pass</x:v>
      </x:c>
      <x:c r="I149" s="8" t="str">
        <x:v>pass</x:v>
      </x:c>
      <x:c r="J149" s="8" t="str">
        <x:v>pass</x:v>
      </x:c>
      <x:c r="K149" s="8" t="str">
        <x:v>pass</x:v>
      </x:c>
      <x:c r="L149" s="8" t="str">
        <x:v>pass</x:v>
      </x:c>
      <x:c r="M149" s="11" t="str"/>
      <x:c r="N149" s="8" t="str">
        <x:v>approved</x:v>
      </x:c>
      <x:c r="O149" s="8" t="str">
        <x:v>Methee</x:v>
      </x:c>
      <x:c r="P149" s="9" t="str">
        <x:v>⁠2026-07-29T00:00:00+07:00</x:v>
      </x:c>
      <x:c r="Q149" s="10" t="n">
        <x:v>1</x:v>
      </x:c>
      <x:c r="R149" s="8" t="str">
        <x:v>app_recommendations_v3</x:v>
      </x:c>
      <x:c r="S149" s="8" t="str">
        <x:v>1</x:v>
      </x:c>
    </x:row>
    <x:row r="150" ht="48" customHeight="1">
      <x:c r="A150" s="8" t="str">
        <x:v>act_transplant_ref_low.02</x:v>
      </x:c>
      <x:c r="B150" s="8" t="str">
        <x:v>act_transplant_ref_low</x:v>
      </x:c>
      <x:c r="C150" s="8" t="str">
        <x:v>recommendation</x:v>
      </x:c>
      <x:c r="D150" s="11" t="str">
        <x:v>ตรวจสอบความสูงของแปลงเพาะชำให้พอดีกับเอว</x:v>
      </x:c>
      <x:c r="E150" s="11" t="str">
        <x:v>Check that the seedling bed is close to waist height.</x:v>
      </x:c>
      <x:c r="F150" s="8" t="str">
        <x:v>direct</x:v>
      </x:c>
      <x:c r="G150" s="8" t="str">
        <x:v>pass</x:v>
      </x:c>
      <x:c r="H150" s="8" t="str">
        <x:v>not_applicable</x:v>
      </x:c>
      <x:c r="I150" s="8" t="str">
        <x:v>pass</x:v>
      </x:c>
      <x:c r="J150" s="8" t="str">
        <x:v>pass</x:v>
      </x:c>
      <x:c r="K150" s="8" t="str">
        <x:v>pass</x:v>
      </x:c>
      <x:c r="L150" s="8" t="str">
        <x:v>pass</x:v>
      </x:c>
      <x:c r="M150" s="11" t="str"/>
      <x:c r="N150" s="8" t="str">
        <x:v>approved</x:v>
      </x:c>
      <x:c r="O150" s="8" t="str">
        <x:v>Methee</x:v>
      </x:c>
      <x:c r="P150" s="9" t="str">
        <x:v>⁠2026-07-29T00:00:00+07:00</x:v>
      </x:c>
      <x:c r="Q150" s="10" t="n">
        <x:v>1</x:v>
      </x:c>
      <x:c r="R150" s="8" t="str">
        <x:v>app_recommendations_v3</x:v>
      </x:c>
      <x:c r="S150" s="8" t="str">
        <x:v>1</x:v>
      </x:c>
    </x:row>
    <x:row r="151" ht="48" customHeight="1">
      <x:c r="A151" s="8" t="str">
        <x:v>act_transplant_ref_medium.01</x:v>
      </x:c>
      <x:c r="B151" s="8" t="str">
        <x:v>act_transplant_ref_medium</x:v>
      </x:c>
      <x:c r="C151" s="8" t="str">
        <x:v>recommendation</x:v>
      </x:c>
      <x:c r="D151" s="11" t="str">
        <x:v>ลดการก้มโดยยกแปลงเพาะชำให้สูงขึ้น</x:v>
      </x:c>
      <x:c r="E151" s="11" t="str">
        <x:v>Raise the seedling bed to reduce bending.</x:v>
      </x:c>
      <x:c r="F151" s="8" t="str">
        <x:v>direct</x:v>
      </x:c>
      <x:c r="G151" s="8" t="str">
        <x:v>pass</x:v>
      </x:c>
      <x:c r="H151" s="8" t="str">
        <x:v>not_applicable</x:v>
      </x:c>
      <x:c r="I151" s="8" t="str">
        <x:v>pass</x:v>
      </x:c>
      <x:c r="J151" s="8" t="str">
        <x:v>pass</x:v>
      </x:c>
      <x:c r="K151" s="8" t="str">
        <x:v>pass</x:v>
      </x:c>
      <x:c r="L151" s="8" t="str">
        <x:v>pass</x:v>
      </x:c>
      <x:c r="M151" s="11" t="str"/>
      <x:c r="N151" s="8" t="str">
        <x:v>approved</x:v>
      </x:c>
      <x:c r="O151" s="8" t="str">
        <x:v>Methee</x:v>
      </x:c>
      <x:c r="P151" s="9" t="str">
        <x:v>⁠2026-07-29T00:00:00+07:00</x:v>
      </x:c>
      <x:c r="Q151" s="10" t="n">
        <x:v>1</x:v>
      </x:c>
      <x:c r="R151" s="8" t="str">
        <x:v>app_recommendations_v3</x:v>
      </x:c>
      <x:c r="S151" s="8" t="str">
        <x:v>1</x:v>
      </x:c>
    </x:row>
    <x:row r="152" ht="48" customHeight="1">
      <x:c r="A152" s="8" t="str">
        <x:v>act_transplant_ref_medium.02</x:v>
      </x:c>
      <x:c r="B152" s="8" t="str">
        <x:v>act_transplant_ref_medium</x:v>
      </x:c>
      <x:c r="C152" s="8" t="str">
        <x:v>recommendation</x:v>
      </x:c>
      <x:c r="D152" s="11" t="str">
        <x:v>ใช้เบาะรองนั่งยองหรือเก้าอี้เตี้ย</x:v>
      </x:c>
      <x:c r="E152" s="11" t="str">
        <x:v>Use a squatting cushion or low stool.</x:v>
      </x:c>
      <x:c r="F152" s="8" t="str">
        <x:v>direct</x:v>
      </x:c>
      <x:c r="G152" s="8" t="str">
        <x:v>pass</x:v>
      </x:c>
      <x:c r="H152" s="8" t="str">
        <x:v>not_applicable</x:v>
      </x:c>
      <x:c r="I152" s="8" t="str">
        <x:v>pass</x:v>
      </x:c>
      <x:c r="J152" s="8" t="str">
        <x:v>pass</x:v>
      </x:c>
      <x:c r="K152" s="8" t="str">
        <x:v>pass</x:v>
      </x:c>
      <x:c r="L152" s="8" t="str">
        <x:v>pass</x:v>
      </x:c>
      <x:c r="M152" s="11" t="str"/>
      <x:c r="N152" s="8" t="str">
        <x:v>approved</x:v>
      </x:c>
      <x:c r="O152" s="8" t="str">
        <x:v>Methee</x:v>
      </x:c>
      <x:c r="P152" s="9" t="str">
        <x:v>⁠2026-07-29T00:00:00+07:00</x:v>
      </x:c>
      <x:c r="Q152" s="10" t="n">
        <x:v>1</x:v>
      </x:c>
      <x:c r="R152" s="8" t="str">
        <x:v>app_recommendations_v3</x:v>
      </x:c>
      <x:c r="S152" s="8" t="str">
        <x:v>1</x:v>
      </x:c>
    </x:row>
    <x:row r="153" ht="48" customHeight="1">
      <x:c r="A153" s="8" t="str">
        <x:v>act_transplant_ref_medium.03</x:v>
      </x:c>
      <x:c r="B153" s="8" t="str">
        <x:v>act_transplant_ref_medium</x:v>
      </x:c>
      <x:c r="C153" s="8" t="str">
        <x:v>recommendation</x:v>
      </x:c>
      <x:c r="D153" s="11" t="str">
        <x:v>สลับท่าทุก 15 นาที และฝึกยกต้นกล้าโดยใช้ขา</x:v>
      </x:c>
      <x:c r="E153" s="11" t="str">
        <x:v>Change posture every 15 minutes and lift seedlings using the legs.</x:v>
      </x:c>
      <x:c r="F153" s="8" t="str">
        <x:v>direct</x:v>
      </x:c>
      <x:c r="G153" s="8" t="str">
        <x:v>pass</x:v>
      </x:c>
      <x:c r="H153" s="8" t="str">
        <x:v>pass</x:v>
      </x:c>
      <x:c r="I153" s="8" t="str">
        <x:v>pass</x:v>
      </x:c>
      <x:c r="J153" s="8" t="str">
        <x:v>pass</x:v>
      </x:c>
      <x:c r="K153" s="8" t="str">
        <x:v>pass</x:v>
      </x:c>
      <x:c r="L153" s="8" t="str">
        <x:v>pass</x:v>
      </x:c>
      <x:c r="M153" s="11" t="str"/>
      <x:c r="N153" s="8" t="str">
        <x:v>approved</x:v>
      </x:c>
      <x:c r="O153" s="8" t="str">
        <x:v>Methee</x:v>
      </x:c>
      <x:c r="P153" s="9" t="str">
        <x:v>⁠2026-07-29T00:00:00+07:00</x:v>
      </x:c>
      <x:c r="Q153" s="10" t="n">
        <x:v>1</x:v>
      </x:c>
      <x:c r="R153" s="8" t="str">
        <x:v>app_recommendations_v3</x:v>
      </x:c>
      <x:c r="S153" s="8" t="str">
        <x:v>1</x:v>
      </x:c>
    </x:row>
    <x:row r="154" ht="48" customHeight="1">
      <x:c r="A154" s="8" t="str">
        <x:v>act_transport_clear_path.01</x:v>
      </x:c>
      <x:c r="B154" s="8" t="str">
        <x:v>act_transport_clear_path</x:v>
      </x:c>
      <x:c r="C154" s="8" t="str">
        <x:v>recommendation</x:v>
      </x:c>
      <x:c r="D154" s="11" t="str">
        <x:v>จัดทางเดินให้เรียบและไม่มีสิ่งกีดขวางก่อนขนย้าย</x:v>
      </x:c>
      <x:c r="E154" s="11" t="str">
        <x:v>Make the transport path level and clear of obstacles before moving materials.</x:v>
      </x:c>
      <x:c r="F154" s="8" t="str">
        <x:v>direct</x:v>
      </x:c>
      <x:c r="G154" s="8" t="str">
        <x:v>pass</x:v>
      </x:c>
      <x:c r="H154" s="8" t="str">
        <x:v>not_applicable</x:v>
      </x:c>
      <x:c r="I154" s="8" t="str">
        <x:v>pass</x:v>
      </x:c>
      <x:c r="J154" s="8" t="str">
        <x:v>pass</x:v>
      </x:c>
      <x:c r="K154" s="8" t="str">
        <x:v>pass</x:v>
      </x:c>
      <x:c r="L154" s="8" t="str">
        <x:v>pass</x:v>
      </x:c>
      <x:c r="M154" s="11" t="str"/>
      <x:c r="N154" s="8" t="str">
        <x:v>approved</x:v>
      </x:c>
      <x:c r="O154" s="8" t="str">
        <x:v>Methee</x:v>
      </x:c>
      <x:c r="P154" s="9" t="str">
        <x:v>⁠2026-07-29T00:00:00+07:00</x:v>
      </x:c>
      <x:c r="Q154" s="10" t="n">
        <x:v>1</x:v>
      </x:c>
      <x:c r="R154" s="8" t="str">
        <x:v>ilo_ergonomic_checkpoints_agriculture</x:v>
      </x:c>
      <x:c r="S154" s="8" t="str">
        <x:v>29</x:v>
      </x:c>
    </x:row>
    <x:row r="155" ht="48" customHeight="1">
      <x:c r="A155" s="8" t="str">
        <x:v>act_transport_ref_high.01</x:v>
      </x:c>
      <x:c r="B155" s="8" t="str">
        <x:v>act_transport_ref_high</x:v>
      </x:c>
      <x:c r="C155" s="8" t="str">
        <x:v>recommendation</x:v>
      </x:c>
      <x:c r="D155" s="11" t="str">
        <x:v>ลดน้ำหนักกระสอบ</x:v>
      </x:c>
      <x:c r="E155" s="11" t="str">
        <x:v>Reduce sack weight.</x:v>
      </x:c>
      <x:c r="F155" s="8" t="str">
        <x:v>direct</x:v>
      </x:c>
      <x:c r="G155" s="8" t="str">
        <x:v>pass</x:v>
      </x:c>
      <x:c r="H155" s="8" t="str">
        <x:v>not_applicable</x:v>
      </x:c>
      <x:c r="I155" s="8" t="str">
        <x:v>pass</x:v>
      </x:c>
      <x:c r="J155" s="8" t="str">
        <x:v>pass</x:v>
      </x:c>
      <x:c r="K155" s="8" t="str">
        <x:v>pass</x:v>
      </x:c>
      <x:c r="L155" s="8" t="str">
        <x:v>pass</x:v>
      </x:c>
      <x:c r="M155" s="11" t="str"/>
      <x:c r="N155" s="8" t="str">
        <x:v>approved</x:v>
      </x:c>
      <x:c r="O155" s="8" t="str">
        <x:v>Methee</x:v>
      </x:c>
      <x:c r="P155" s="9" t="str">
        <x:v>⁠2026-07-29T00:00:00+07:00</x:v>
      </x:c>
      <x:c r="Q155" s="10" t="n">
        <x:v>1</x:v>
      </x:c>
      <x:c r="R155" s="8" t="str">
        <x:v>app_recommendations_v3</x:v>
      </x:c>
      <x:c r="S155" s="8" t="str">
        <x:v>3</x:v>
      </x:c>
    </x:row>
    <x:row r="156" ht="48" customHeight="1">
      <x:c r="A156" s="8" t="str">
        <x:v>act_transport_ref_high.02</x:v>
      </x:c>
      <x:c r="B156" s="8" t="str">
        <x:v>act_transport_ref_high</x:v>
      </x:c>
      <x:c r="C156" s="8" t="str">
        <x:v>recommendation</x:v>
      </x:c>
      <x:c r="D156" s="11" t="str">
        <x:v>ใช้เกวียนหรือรถเข็นล้อใหญ่ ปูพื้นกันลื่น</x:v>
      </x:c>
      <x:c r="E156" s="11" t="str">
        <x:v>Use a wagon or large-wheel cart and provide a non-slip surface.</x:v>
      </x:c>
      <x:c r="F156" s="8" t="str">
        <x:v>direct</x:v>
      </x:c>
      <x:c r="G156" s="8" t="str">
        <x:v>pass</x:v>
      </x:c>
      <x:c r="H156" s="8" t="str">
        <x:v>not_applicable</x:v>
      </x:c>
      <x:c r="I156" s="8" t="str">
        <x:v>pass</x:v>
      </x:c>
      <x:c r="J156" s="8" t="str">
        <x:v>pass</x:v>
      </x:c>
      <x:c r="K156" s="8" t="str">
        <x:v>pass</x:v>
      </x:c>
      <x:c r="L156" s="8" t="str">
        <x:v>pass</x:v>
      </x:c>
      <x:c r="M156" s="11" t="str"/>
      <x:c r="N156" s="8" t="str">
        <x:v>approved</x:v>
      </x:c>
      <x:c r="O156" s="8" t="str">
        <x:v>Methee</x:v>
      </x:c>
      <x:c r="P156" s="9" t="str">
        <x:v>⁠2026-07-29T00:00:00+07:00</x:v>
      </x:c>
      <x:c r="Q156" s="10" t="n">
        <x:v>1</x:v>
      </x:c>
      <x:c r="R156" s="8" t="str">
        <x:v>app_recommendations_v3</x:v>
      </x:c>
      <x:c r="S156" s="8" t="str">
        <x:v>3</x:v>
      </x:c>
    </x:row>
    <x:row r="157" ht="48" customHeight="1">
      <x:c r="A157" s="8" t="str">
        <x:v>act_transport_ref_high.03</x:v>
      </x:c>
      <x:c r="B157" s="8" t="str">
        <x:v>act_transport_ref_high</x:v>
      </x:c>
      <x:c r="C157" s="8" t="str">
        <x:v>recommendation</x:v>
      </x:c>
      <x:c r="D157" s="11" t="str">
        <x:v>จัดพัก 10-15 นาทีทุก 30 นาที และฝึกเทคนิคการยกที่ถูกต้องร่วมกับเพื่อน</x:v>
      </x:c>
      <x:c r="E157" s="11" t="str">
        <x:v>Rest for 10-15 minutes every 30 minutes and practise correct team-lifting technique.</x:v>
      </x:c>
      <x:c r="F157" s="8" t="str">
        <x:v>direct</x:v>
      </x:c>
      <x:c r="G157" s="8" t="str">
        <x:v>pass</x:v>
      </x:c>
      <x:c r="H157" s="8" t="str">
        <x:v>pass</x:v>
      </x:c>
      <x:c r="I157" s="8" t="str">
        <x:v>pass</x:v>
      </x:c>
      <x:c r="J157" s="8" t="str">
        <x:v>pass</x:v>
      </x:c>
      <x:c r="K157" s="8" t="str">
        <x:v>pass</x:v>
      </x:c>
      <x:c r="L157" s="8" t="str">
        <x:v>pass</x:v>
      </x:c>
      <x:c r="M157" s="11" t="str"/>
      <x:c r="N157" s="8" t="str">
        <x:v>approved</x:v>
      </x:c>
      <x:c r="O157" s="8" t="str">
        <x:v>Methee</x:v>
      </x:c>
      <x:c r="P157" s="9" t="str">
        <x:v>⁠2026-07-29T00:00:00+07:00</x:v>
      </x:c>
      <x:c r="Q157" s="10" t="n">
        <x:v>1</x:v>
      </x:c>
      <x:c r="R157" s="8" t="str">
        <x:v>app_recommendations_v3</x:v>
      </x:c>
      <x:c r="S157" s="8" t="str">
        <x:v>3</x:v>
      </x:c>
    </x:row>
    <x:row r="158" ht="48" customHeight="1">
      <x:c r="A158" s="8" t="str">
        <x:v>act_transport_ref_low.01</x:v>
      </x:c>
      <x:c r="B158" s="8" t="str">
        <x:v>act_transport_ref_low</x:v>
      </x:c>
      <x:c r="C158" s="8" t="str">
        <x:v>recommendation</x:v>
      </x:c>
      <x:c r="D158" s="11" t="str">
        <x:v>ใช้รถเข็นทุกครั้ง</x:v>
      </x:c>
      <x:c r="E158" s="11" t="str">
        <x:v>Use a cart every time.</x:v>
      </x:c>
      <x:c r="F158" s="8" t="str">
        <x:v>direct</x:v>
      </x:c>
      <x:c r="G158" s="8" t="str">
        <x:v>pass</x:v>
      </x:c>
      <x:c r="H158" s="8" t="str">
        <x:v>not_applicable</x:v>
      </x:c>
      <x:c r="I158" s="8" t="str">
        <x:v>pass</x:v>
      </x:c>
      <x:c r="J158" s="8" t="str">
        <x:v>pass</x:v>
      </x:c>
      <x:c r="K158" s="8" t="str">
        <x:v>pass</x:v>
      </x:c>
      <x:c r="L158" s="8" t="str">
        <x:v>pass</x:v>
      </x:c>
      <x:c r="M158" s="11" t="str"/>
      <x:c r="N158" s="8" t="str">
        <x:v>approved</x:v>
      </x:c>
      <x:c r="O158" s="8" t="str">
        <x:v>Methee</x:v>
      </x:c>
      <x:c r="P158" s="9" t="str">
        <x:v>⁠2026-07-29T00:00:00+07:00</x:v>
      </x:c>
      <x:c r="Q158" s="10" t="n">
        <x:v>1</x:v>
      </x:c>
      <x:c r="R158" s="8" t="str">
        <x:v>app_recommendations_v3</x:v>
      </x:c>
      <x:c r="S158" s="8" t="str">
        <x:v>3</x:v>
      </x:c>
    </x:row>
    <x:row r="159" ht="48" customHeight="1">
      <x:c r="A159" s="8" t="str">
        <x:v>act_transport_ref_low.02</x:v>
      </x:c>
      <x:c r="B159" s="8" t="str">
        <x:v>act_transport_ref_low</x:v>
      </x:c>
      <x:c r="C159" s="8" t="str">
        <x:v>recommendation</x:v>
      </x:c>
      <x:c r="D159" s="11" t="str">
        <x:v>ยกของโดยงอเข่า หลังตรง ไม่บิดตัว และสวมรองเท้ากันลื่น</x:v>
      </x:c>
      <x:c r="E159" s="11" t="str">
        <x:v>Lift by bending the knees, keeping the back straight, avoiding twisting, and wearing non-slip footwear.</x:v>
      </x:c>
      <x:c r="F159" s="8" t="str">
        <x:v>direct</x:v>
      </x:c>
      <x:c r="G159" s="8" t="str">
        <x:v>pass</x:v>
      </x:c>
      <x:c r="H159" s="8" t="str">
        <x:v>not_applicable</x:v>
      </x:c>
      <x:c r="I159" s="8" t="str">
        <x:v>pass</x:v>
      </x:c>
      <x:c r="J159" s="8" t="str">
        <x:v>pass</x:v>
      </x:c>
      <x:c r="K159" s="8" t="str">
        <x:v>pass</x:v>
      </x:c>
      <x:c r="L159" s="8" t="str">
        <x:v>pass</x:v>
      </x:c>
      <x:c r="M159" s="11" t="str"/>
      <x:c r="N159" s="8" t="str">
        <x:v>approved</x:v>
      </x:c>
      <x:c r="O159" s="8" t="str">
        <x:v>Methee</x:v>
      </x:c>
      <x:c r="P159" s="9" t="str">
        <x:v>⁠2026-07-29T00:00:00+07:00</x:v>
      </x:c>
      <x:c r="Q159" s="10" t="n">
        <x:v>1</x:v>
      </x:c>
      <x:c r="R159" s="8" t="str">
        <x:v>app_recommendations_v3</x:v>
      </x:c>
      <x:c r="S159" s="8" t="str">
        <x:v>3</x:v>
      </x:c>
    </x:row>
    <x:row r="160" ht="48" customHeight="1">
      <x:c r="A160" s="8" t="str">
        <x:v>act_transport_ref_medium.01</x:v>
      </x:c>
      <x:c r="B160" s="8" t="str">
        <x:v>act_transport_ref_medium</x:v>
      </x:c>
      <x:c r="C160" s="8" t="str">
        <x:v>recommendation</x:v>
      </x:c>
      <x:c r="D160" s="11" t="str">
        <x:v>ลดน้ำหนักกระสอบ</x:v>
      </x:c>
      <x:c r="E160" s="11" t="str">
        <x:v>Reduce sack weight.</x:v>
      </x:c>
      <x:c r="F160" s="8" t="str">
        <x:v>direct</x:v>
      </x:c>
      <x:c r="G160" s="8" t="str">
        <x:v>pass</x:v>
      </x:c>
      <x:c r="H160" s="8" t="str">
        <x:v>not_applicable</x:v>
      </x:c>
      <x:c r="I160" s="8" t="str">
        <x:v>pass</x:v>
      </x:c>
      <x:c r="J160" s="8" t="str">
        <x:v>pass</x:v>
      </x:c>
      <x:c r="K160" s="8" t="str">
        <x:v>pass</x:v>
      </x:c>
      <x:c r="L160" s="8" t="str">
        <x:v>pass</x:v>
      </x:c>
      <x:c r="M160" s="11" t="str"/>
      <x:c r="N160" s="8" t="str">
        <x:v>approved</x:v>
      </x:c>
      <x:c r="O160" s="8" t="str">
        <x:v>Methee</x:v>
      </x:c>
      <x:c r="P160" s="9" t="str">
        <x:v>⁠2026-07-29T00:00:00+07:00</x:v>
      </x:c>
      <x:c r="Q160" s="10" t="n">
        <x:v>1</x:v>
      </x:c>
      <x:c r="R160" s="8" t="str">
        <x:v>app_recommendations_v3</x:v>
      </x:c>
      <x:c r="S160" s="8" t="str">
        <x:v>3</x:v>
      </x:c>
    </x:row>
    <x:row r="161" ht="48" customHeight="1">
      <x:c r="A161" s="8" t="str">
        <x:v>act_transport_ref_medium.02</x:v>
      </x:c>
      <x:c r="B161" s="8" t="str">
        <x:v>act_transport_ref_medium</x:v>
      </x:c>
      <x:c r="C161" s="8" t="str">
        <x:v>recommendation</x:v>
      </x:c>
      <x:c r="D161" s="11" t="str">
        <x:v>ใช้รถเข็น</x:v>
      </x:c>
      <x:c r="E161" s="11" t="str">
        <x:v>Use a cart.</x:v>
      </x:c>
      <x:c r="F161" s="8" t="str">
        <x:v>direct</x:v>
      </x:c>
      <x:c r="G161" s="8" t="str">
        <x:v>pass</x:v>
      </x:c>
      <x:c r="H161" s="8" t="str">
        <x:v>not_applicable</x:v>
      </x:c>
      <x:c r="I161" s="8" t="str">
        <x:v>pass</x:v>
      </x:c>
      <x:c r="J161" s="8" t="str">
        <x:v>pass</x:v>
      </x:c>
      <x:c r="K161" s="8" t="str">
        <x:v>pass</x:v>
      </x:c>
      <x:c r="L161" s="8" t="str">
        <x:v>pass</x:v>
      </x:c>
      <x:c r="M161" s="11" t="str"/>
      <x:c r="N161" s="8" t="str">
        <x:v>approved</x:v>
      </x:c>
      <x:c r="O161" s="8" t="str">
        <x:v>Methee</x:v>
      </x:c>
      <x:c r="P161" s="9" t="str">
        <x:v>⁠2026-07-29T00:00:00+07:00</x:v>
      </x:c>
      <x:c r="Q161" s="10" t="n">
        <x:v>1</x:v>
      </x:c>
      <x:c r="R161" s="8" t="str">
        <x:v>app_recommendations_v3</x:v>
      </x:c>
      <x:c r="S161" s="8" t="str">
        <x:v>3</x:v>
      </x:c>
    </x:row>
    <x:row r="162" ht="48" customHeight="1">
      <x:c r="A162" s="8" t="str">
        <x:v>act_transport_ref_medium.03</x:v>
      </x:c>
      <x:c r="B162" s="8" t="str">
        <x:v>act_transport_ref_medium</x:v>
      </x:c>
      <x:c r="C162" s="8" t="str">
        <x:v>recommendation</x:v>
      </x:c>
      <x:c r="D162" s="11" t="str">
        <x:v>ปรับปรุงทางเดิน</x:v>
      </x:c>
      <x:c r="E162" s="11" t="str">
        <x:v>Improve the path.</x:v>
      </x:c>
      <x:c r="F162" s="8" t="str">
        <x:v>direct</x:v>
      </x:c>
      <x:c r="G162" s="8" t="str">
        <x:v>pass</x:v>
      </x:c>
      <x:c r="H162" s="8" t="str">
        <x:v>not_applicable</x:v>
      </x:c>
      <x:c r="I162" s="8" t="str">
        <x:v>pass</x:v>
      </x:c>
      <x:c r="J162" s="8" t="str">
        <x:v>pass</x:v>
      </x:c>
      <x:c r="K162" s="8" t="str">
        <x:v>pass</x:v>
      </x:c>
      <x:c r="L162" s="8" t="str">
        <x:v>pass</x:v>
      </x:c>
      <x:c r="M162" s="11" t="str"/>
      <x:c r="N162" s="8" t="str">
        <x:v>approved</x:v>
      </x:c>
      <x:c r="O162" s="8" t="str">
        <x:v>Methee</x:v>
      </x:c>
      <x:c r="P162" s="9" t="str">
        <x:v>⁠2026-07-29T00:00:00+07:00</x:v>
      </x:c>
      <x:c r="Q162" s="10" t="n">
        <x:v>1</x:v>
      </x:c>
      <x:c r="R162" s="8" t="str">
        <x:v>app_recommendations_v3</x:v>
      </x:c>
      <x:c r="S162" s="8" t="str">
        <x:v>3</x:v>
      </x:c>
    </x:row>
    <x:row r="163" ht="48" customHeight="1">
      <x:c r="A163" s="8" t="str">
        <x:v>act_transport_ref_medium.04</x:v>
      </x:c>
      <x:c r="B163" s="8" t="str">
        <x:v>act_transport_ref_medium</x:v>
      </x:c>
      <x:c r="C163" s="8" t="str">
        <x:v>recommendation</x:v>
      </x:c>
      <x:c r="D163" s="11" t="str">
        <x:v>เปลี่ยนทิศทางโดยหมุนเท้าแทนการบิดเอว</x:v>
      </x:c>
      <x:c r="E163" s="11" t="str">
        <x:v>Turn with the feet instead of twisting the waist.</x:v>
      </x:c>
      <x:c r="F163" s="8" t="str">
        <x:v>direct</x:v>
      </x:c>
      <x:c r="G163" s="8" t="str">
        <x:v>pass</x:v>
      </x:c>
      <x:c r="H163" s="8" t="str">
        <x:v>not_applicable</x:v>
      </x:c>
      <x:c r="I163" s="8" t="str">
        <x:v>pass</x:v>
      </x:c>
      <x:c r="J163" s="8" t="str">
        <x:v>pass</x:v>
      </x:c>
      <x:c r="K163" s="8" t="str">
        <x:v>pass</x:v>
      </x:c>
      <x:c r="L163" s="8" t="str">
        <x:v>pass</x:v>
      </x:c>
      <x:c r="M163" s="11" t="str"/>
      <x:c r="N163" s="8" t="str">
        <x:v>approved</x:v>
      </x:c>
      <x:c r="O163" s="8" t="str">
        <x:v>Methee</x:v>
      </x:c>
      <x:c r="P163" s="9" t="str">
        <x:v>⁠2026-07-29T00:00:00+07:00</x:v>
      </x:c>
      <x:c r="Q163" s="10" t="n">
        <x:v>1</x:v>
      </x:c>
      <x:c r="R163" s="8" t="str">
        <x:v>app_recommendations_v3</x:v>
      </x:c>
      <x:c r="S163" s="8" t="str">
        <x:v>3</x:v>
      </x:c>
    </x:row>
    <x:row r="164" ht="48" customHeight="1">
      <x:c r="A164" s="8" t="str">
        <x:v>act_transport_two_person.01</x:v>
      </x:c>
      <x:c r="B164" s="8" t="str">
        <x:v>act_transport_two_person</x:v>
      </x:c>
      <x:c r="C164" s="8" t="str">
        <x:v>recommendation</x:v>
      </x:c>
      <x:c r="D164" s="11" t="str">
        <x:v>ให้คนช่วยยกเมื่อผลผลิตหนักเกินไป</x:v>
      </x:c>
      <x:c r="E164" s="11" t="str">
        <x:v>Ask another person to help lift heavy produce when needed.</x:v>
      </x:c>
      <x:c r="F164" s="8" t="str">
        <x:v>direct</x:v>
      </x:c>
      <x:c r="G164" s="8" t="str">
        <x:v>pass</x:v>
      </x:c>
      <x:c r="H164" s="8" t="str">
        <x:v>not_applicable</x:v>
      </x:c>
      <x:c r="I164" s="8" t="str">
        <x:v>pass</x:v>
      </x:c>
      <x:c r="J164" s="8" t="str">
        <x:v>pass</x:v>
      </x:c>
      <x:c r="K164" s="8" t="str">
        <x:v>pass</x:v>
      </x:c>
      <x:c r="L164" s="8" t="str">
        <x:v>pass</x:v>
      </x:c>
      <x:c r="M164" s="11" t="str"/>
      <x:c r="N164" s="8" t="str">
        <x:v>approved</x:v>
      </x:c>
      <x:c r="O164" s="8" t="str">
        <x:v>Methee</x:v>
      </x:c>
      <x:c r="P164" s="9" t="str">
        <x:v>⁠2026-07-29T00:00:00+07:00</x:v>
      </x:c>
      <x:c r="Q164" s="10" t="n">
        <x:v>1</x:v>
      </x:c>
      <x:c r="R164" s="8" t="str">
        <x:v>body_map_recommendations</x:v>
      </x:c>
      <x:c r="S164" s="8" t="str">
        <x:v>8</x:v>
      </x:c>
    </x:row>
    <x:row r="165" ht="48" customHeight="1">
      <x:c r="A165" s="8" t="str">
        <x:v>act_use_cart_distance.01</x:v>
      </x:c>
      <x:c r="B165" s="8" t="str">
        <x:v>act_use_cart_distance</x:v>
      </x:c>
      <x:c r="C165" s="8" t="str">
        <x:v>recommendation</x:v>
      </x:c>
      <x:c r="D165" s="11" t="str">
        <x:v>ใช้รถเข็นหรืออุปกรณ์ช่วยขนย้ายเมื่อต้องขนไกล</x:v>
      </x:c>
      <x:c r="E165" s="11" t="str">
        <x:v>Use a cart or handling aid for long distance transport.</x:v>
      </x:c>
      <x:c r="F165" s="8" t="str">
        <x:v>direct</x:v>
      </x:c>
      <x:c r="G165" s="8" t="str">
        <x:v>pass</x:v>
      </x:c>
      <x:c r="H165" s="8" t="str">
        <x:v>not_applicable</x:v>
      </x:c>
      <x:c r="I165" s="8" t="str">
        <x:v>pass</x:v>
      </x:c>
      <x:c r="J165" s="8" t="str">
        <x:v>pass</x:v>
      </x:c>
      <x:c r="K165" s="8" t="str">
        <x:v>pass</x:v>
      </x:c>
      <x:c r="L165" s="8" t="str">
        <x:v>pass</x:v>
      </x:c>
      <x:c r="M165" s="11" t="str"/>
      <x:c r="N165" s="8" t="str">
        <x:v>approved</x:v>
      </x:c>
      <x:c r="O165" s="8" t="str">
        <x:v>Methee</x:v>
      </x:c>
      <x:c r="P165" s="9" t="str">
        <x:v>⁠2026-07-29T00:00:00+07:00</x:v>
      </x:c>
      <x:c r="Q165" s="10" t="n">
        <x:v>1</x:v>
      </x:c>
      <x:c r="R165" s="8" t="str">
        <x:v>body_map_recommendations</x:v>
      </x:c>
      <x:c r="S165" s="8" t="str">
        <x:v>3,8</x:v>
      </x:c>
    </x:row>
    <x:row r="166" ht="48" customHeight="1">
      <x:c r="A166" s="8" t="str">
        <x:v>act_use_legs.01</x:v>
      </x:c>
      <x:c r="B166" s="8" t="str">
        <x:v>act_use_legs</x:v>
      </x:c>
      <x:c r="C166" s="8" t="str">
        <x:v>recommendation</x:v>
      </x:c>
      <x:c r="D166" s="11" t="str">
        <x:v>ใช้แรงจากขาในการออกแรง ไม่ใช่หลัง</x:v>
      </x:c>
      <x:c r="E166" s="11" t="str">
        <x:v>Use force from the legs, not the back.</x:v>
      </x:c>
      <x:c r="F166" s="8" t="str">
        <x:v>direct</x:v>
      </x:c>
      <x:c r="G166" s="8" t="str">
        <x:v>pass</x:v>
      </x:c>
      <x:c r="H166" s="8" t="str">
        <x:v>not_applicable</x:v>
      </x:c>
      <x:c r="I166" s="8" t="str">
        <x:v>pass</x:v>
      </x:c>
      <x:c r="J166" s="8" t="str">
        <x:v>pass</x:v>
      </x:c>
      <x:c r="K166" s="8" t="str">
        <x:v>pass</x:v>
      </x:c>
      <x:c r="L166" s="8" t="str">
        <x:v>pass</x:v>
      </x:c>
      <x:c r="M166" s="11" t="str"/>
      <x:c r="N166" s="8" t="str">
        <x:v>approved</x:v>
      </x:c>
      <x:c r="O166" s="8" t="str">
        <x:v>Methee</x:v>
      </x:c>
      <x:c r="P166" s="9" t="str">
        <x:v>⁠2026-07-29T00:00:00+07:00</x:v>
      </x:c>
      <x:c r="Q166" s="10" t="n">
        <x:v>1</x:v>
      </x:c>
      <x:c r="R166" s="8" t="str">
        <x:v>app_recommendations_v3</x:v>
      </x:c>
      <x:c r="S166" s="8" t="str">
        <x:v>1,3</x:v>
      </x:c>
    </x:row>
    <x:row r="167" ht="48" customHeight="1">
      <x:c r="A167" s="8" t="str">
        <x:v>ui.recommendations.heading</x:v>
      </x:c>
      <x:c r="B167" s="8" t="str">
        <x:v>ui.recommendations.heading</x:v>
      </x:c>
      <x:c r="C167" s="8" t="str">
        <x:v>ui_copy</x:v>
      </x:c>
      <x:c r="D167" s="11" t="str">
        <x:v>คำแนะนำตามกิจกรรมและความเสี่ยง</x:v>
      </x:c>
      <x:c r="E167" s="11" t="str">
        <x:v>Recommendations by activity and risk</x:v>
      </x:c>
      <x:c r="F167" s="8" t="str">
        <x:v>direct</x:v>
      </x:c>
      <x:c r="G167" s="8" t="str">
        <x:v>pass</x:v>
      </x:c>
      <x:c r="H167" s="8" t="str">
        <x:v>not_applicable</x:v>
      </x:c>
      <x:c r="I167" s="8" t="str">
        <x:v>pass</x:v>
      </x:c>
      <x:c r="J167" s="8" t="str">
        <x:v>pass</x:v>
      </x:c>
      <x:c r="K167" s="8" t="str">
        <x:v>pass</x:v>
      </x:c>
      <x:c r="L167" s="8" t="str">
        <x:v>pass</x:v>
      </x:c>
      <x:c r="M167" s="11" t="str"/>
      <x:c r="N167" s="8" t="str">
        <x:v>approved</x:v>
      </x:c>
      <x:c r="O167" s="8" t="str">
        <x:v>Methee</x:v>
      </x:c>
      <x:c r="P167" s="9" t="str">
        <x:v>⁠2026-07-29T00:00:00+07:00</x:v>
      </x:c>
      <x:c r="Q167" s="10" t="n">
        <x:v>1</x:v>
      </x:c>
      <x:c r="R167" s="8" t="str">
        <x:v>current_app_recommendation_copy</x:v>
      </x:c>
      <x:c r="S167" s="8" t="str"/>
    </x:row>
    <x:row r="168" ht="48" customHeight="1">
      <x:c r="A168" s="8" t="str">
        <x:v>ui.recommendations.instruction</x:v>
      </x:c>
      <x:c r="B168" s="8" t="str">
        <x:v>ui.recommendations.instruction</x:v>
      </x:c>
      <x:c r="C168" s="8" t="str">
        <x:v>ui_copy</x:v>
      </x:c>
      <x:c r="D168" s="11" t="str">
        <x:v>เริ่มจากข้อที่ทำได้จริงในงานนี้ แล้วติดตามคะแนนครั้งถัดไป</x:v>
      </x:c>
      <x:c r="E168" s="11" t="str">
        <x:v>Start with actions that fit this task, then compare the next result.</x:v>
      </x:c>
      <x:c r="F168" s="8" t="str">
        <x:v>direct</x:v>
      </x:c>
      <x:c r="G168" s="8" t="str">
        <x:v>pass</x:v>
      </x:c>
      <x:c r="H168" s="8" t="str">
        <x:v>not_applicable</x:v>
      </x:c>
      <x:c r="I168" s="8" t="str">
        <x:v>pass</x:v>
      </x:c>
      <x:c r="J168" s="8" t="str">
        <x:v>pass</x:v>
      </x:c>
      <x:c r="K168" s="8" t="str">
        <x:v>pass</x:v>
      </x:c>
      <x:c r="L168" s="8" t="str">
        <x:v>pass</x:v>
      </x:c>
      <x:c r="M168" s="11" t="str"/>
      <x:c r="N168" s="8" t="str">
        <x:v>approved</x:v>
      </x:c>
      <x:c r="O168" s="8" t="str">
        <x:v>Methee</x:v>
      </x:c>
      <x:c r="P168" s="9" t="str">
        <x:v>⁠2026-07-29T00:00:00+07:00</x:v>
      </x:c>
      <x:c r="Q168" s="10" t="n">
        <x:v>1</x:v>
      </x:c>
      <x:c r="R168" s="8" t="str">
        <x:v>current_app_recommendation_copy</x:v>
      </x:c>
      <x:c r="S168" s="8" t="str"/>
    </x:row>
    <x:row r="169" ht="48" customHeight="1">
      <x:c r="A169" s="8" t="str">
        <x:v>ui.category.posture</x:v>
      </x:c>
      <x:c r="B169" s="8" t="str">
        <x:v>ui.category.posture</x:v>
      </x:c>
      <x:c r="C169" s="8" t="str">
        <x:v>ui_copy</x:v>
      </x:c>
      <x:c r="D169" s="11" t="str">
        <x:v>ท่าทางที่ควรปรับ</x:v>
      </x:c>
      <x:c r="E169" s="11" t="str">
        <x:v>Posture to adjust</x:v>
      </x:c>
      <x:c r="F169" s="8" t="str">
        <x:v>direct</x:v>
      </x:c>
      <x:c r="G169" s="8" t="str">
        <x:v>pass</x:v>
      </x:c>
      <x:c r="H169" s="8" t="str">
        <x:v>not_applicable</x:v>
      </x:c>
      <x:c r="I169" s="8" t="str">
        <x:v>pass</x:v>
      </x:c>
      <x:c r="J169" s="8" t="str">
        <x:v>pass</x:v>
      </x:c>
      <x:c r="K169" s="8" t="str">
        <x:v>pass</x:v>
      </x:c>
      <x:c r="L169" s="8" t="str">
        <x:v>pass</x:v>
      </x:c>
      <x:c r="M169" s="11" t="str"/>
      <x:c r="N169" s="8" t="str">
        <x:v>approved</x:v>
      </x:c>
      <x:c r="O169" s="8" t="str">
        <x:v>Methee</x:v>
      </x:c>
      <x:c r="P169" s="9" t="str">
        <x:v>⁠2026-07-29T00:00:00+07:00</x:v>
      </x:c>
      <x:c r="Q169" s="10" t="n">
        <x:v>1</x:v>
      </x:c>
      <x:c r="R169" s="8" t="str">
        <x:v>current_app_recommendation_copy</x:v>
      </x:c>
      <x:c r="S169" s="8" t="str"/>
    </x:row>
    <x:row r="170" ht="48" customHeight="1">
      <x:c r="A170" s="8" t="str">
        <x:v>ui.category.risk_reduction</x:v>
      </x:c>
      <x:c r="B170" s="8" t="str">
        <x:v>ui.category.risk_reduction</x:v>
      </x:c>
      <x:c r="C170" s="8" t="str">
        <x:v>ui_copy</x:v>
      </x:c>
      <x:c r="D170" s="11" t="str">
        <x:v>วิธีลดความเสี่ยง</x:v>
      </x:c>
      <x:c r="E170" s="11" t="str">
        <x:v>Ways to reduce risk</x:v>
      </x:c>
      <x:c r="F170" s="8" t="str">
        <x:v>direct</x:v>
      </x:c>
      <x:c r="G170" s="8" t="str">
        <x:v>pass</x:v>
      </x:c>
      <x:c r="H170" s="8" t="str">
        <x:v>not_applicable</x:v>
      </x:c>
      <x:c r="I170" s="8" t="str">
        <x:v>pass</x:v>
      </x:c>
      <x:c r="J170" s="8" t="str">
        <x:v>pass</x:v>
      </x:c>
      <x:c r="K170" s="8" t="str">
        <x:v>pass</x:v>
      </x:c>
      <x:c r="L170" s="8" t="str">
        <x:v>pass</x:v>
      </x:c>
      <x:c r="M170" s="11" t="str"/>
      <x:c r="N170" s="8" t="str">
        <x:v>approved</x:v>
      </x:c>
      <x:c r="O170" s="8" t="str">
        <x:v>Methee</x:v>
      </x:c>
      <x:c r="P170" s="9" t="str">
        <x:v>⁠2026-07-29T00:00:00+07:00</x:v>
      </x:c>
      <x:c r="Q170" s="10" t="n">
        <x:v>1</x:v>
      </x:c>
      <x:c r="R170" s="8" t="str">
        <x:v>current_app_recommendation_copy</x:v>
      </x:c>
      <x:c r="S170" s="8" t="str"/>
    </x:row>
    <x:row r="171" ht="48" customHeight="1">
      <x:c r="A171" s="8" t="str">
        <x:v>ui.category.rest_rotation</x:v>
      </x:c>
      <x:c r="B171" s="8" t="str">
        <x:v>ui.category.rest_rotation</x:v>
      </x:c>
      <x:c r="C171" s="8" t="str">
        <x:v>ui_copy</x:v>
      </x:c>
      <x:c r="D171" s="11" t="str">
        <x:v>การพักหรือสลับงาน</x:v>
      </x:c>
      <x:c r="E171" s="11" t="str">
        <x:v>Rest or task rotation</x:v>
      </x:c>
      <x:c r="F171" s="8" t="str">
        <x:v>direct</x:v>
      </x:c>
      <x:c r="G171" s="8" t="str">
        <x:v>pass</x:v>
      </x:c>
      <x:c r="H171" s="8" t="str">
        <x:v>not_applicable</x:v>
      </x:c>
      <x:c r="I171" s="8" t="str">
        <x:v>pass</x:v>
      </x:c>
      <x:c r="J171" s="8" t="str">
        <x:v>pass</x:v>
      </x:c>
      <x:c r="K171" s="8" t="str">
        <x:v>pass</x:v>
      </x:c>
      <x:c r="L171" s="8" t="str">
        <x:v>pass</x:v>
      </x:c>
      <x:c r="M171" s="11" t="str"/>
      <x:c r="N171" s="8" t="str">
        <x:v>approved</x:v>
      </x:c>
      <x:c r="O171" s="8" t="str">
        <x:v>Methee</x:v>
      </x:c>
      <x:c r="P171" s="9" t="str">
        <x:v>⁠2026-07-29T00:00:00+07:00</x:v>
      </x:c>
      <x:c r="Q171" s="10" t="n">
        <x:v>1</x:v>
      </x:c>
      <x:c r="R171" s="8" t="str">
        <x:v>current_app_recommendation_copy</x:v>
      </x:c>
      <x:c r="S171" s="8" t="str"/>
    </x:row>
    <x:row r="172" ht="48" customHeight="1">
      <x:c r="A172" s="8" t="str">
        <x:v>ui.category.workload_support</x:v>
      </x:c>
      <x:c r="B172" s="8" t="str">
        <x:v>ui.category.workload_support</x:v>
      </x:c>
      <x:c r="C172" s="8" t="str">
        <x:v>ui_copy</x:v>
      </x:c>
      <x:c r="D172" s="11" t="str">
        <x:v>อุปกรณ์ช่วยลดภาระงาน</x:v>
      </x:c>
      <x:c r="E172" s="11" t="str">
        <x:v>Tools or workload support</x:v>
      </x:c>
      <x:c r="F172" s="8" t="str">
        <x:v>direct</x:v>
      </x:c>
      <x:c r="G172" s="8" t="str">
        <x:v>pass</x:v>
      </x:c>
      <x:c r="H172" s="8" t="str">
        <x:v>not_applicable</x:v>
      </x:c>
      <x:c r="I172" s="8" t="str">
        <x:v>pass</x:v>
      </x:c>
      <x:c r="J172" s="8" t="str">
        <x:v>pass</x:v>
      </x:c>
      <x:c r="K172" s="8" t="str">
        <x:v>pass</x:v>
      </x:c>
      <x:c r="L172" s="8" t="str">
        <x:v>pass</x:v>
      </x:c>
      <x:c r="M172" s="11" t="str"/>
      <x:c r="N172" s="8" t="str">
        <x:v>approved</x:v>
      </x:c>
      <x:c r="O172" s="8" t="str">
        <x:v>Methee</x:v>
      </x:c>
      <x:c r="P172" s="9" t="str">
        <x:v>⁠2026-07-29T00:00:00+07:00</x:v>
      </x:c>
      <x:c r="Q172" s="10" t="n">
        <x:v>1</x:v>
      </x:c>
      <x:c r="R172" s="8" t="str">
        <x:v>current_app_recommendation_copy</x:v>
      </x:c>
      <x:c r="S172" s="8" t="str"/>
    </x:row>
    <x:row r="173" ht="48" customHeight="1">
      <x:c r="A173" s="8" t="str">
        <x:v>ui.recommendations.empty</x:v>
      </x:c>
      <x:c r="B173" s="8" t="str">
        <x:v>ui.recommendations.empty</x:v>
      </x:c>
      <x:c r="C173" s="8" t="str">
        <x:v>ui_copy</x:v>
      </x:c>
      <x:c r="D173" s="11" t="str">
        <x:v>ไม่มีคำแนะนำเพิ่มเติม</x:v>
      </x:c>
      <x:c r="E173" s="11" t="str">
        <x:v>No additional recommendation</x:v>
      </x:c>
      <x:c r="F173" s="8" t="str">
        <x:v>direct</x:v>
      </x:c>
      <x:c r="G173" s="8" t="str">
        <x:v>pass</x:v>
      </x:c>
      <x:c r="H173" s="8" t="str">
        <x:v>not_applicable</x:v>
      </x:c>
      <x:c r="I173" s="8" t="str">
        <x:v>pass</x:v>
      </x:c>
      <x:c r="J173" s="8" t="str">
        <x:v>pass</x:v>
      </x:c>
      <x:c r="K173" s="8" t="str">
        <x:v>pass</x:v>
      </x:c>
      <x:c r="L173" s="8" t="str">
        <x:v>pass</x:v>
      </x:c>
      <x:c r="M173" s="11" t="str"/>
      <x:c r="N173" s="8" t="str">
        <x:v>approved</x:v>
      </x:c>
      <x:c r="O173" s="8" t="str">
        <x:v>Methee</x:v>
      </x:c>
      <x:c r="P173" s="9" t="str">
        <x:v>⁠2026-07-29T00:00:00+07:00</x:v>
      </x:c>
      <x:c r="Q173" s="10" t="n">
        <x:v>1</x:v>
      </x:c>
      <x:c r="R173" s="8" t="str">
        <x:v>current_app_recommendation_copy</x:v>
      </x:c>
      <x:c r="S173" s="8" t="str"/>
    </x:row>
    <x:row r="174" ht="48" customHeight="1">
      <x:c r="A174" s="8" t="str">
        <x:v>ui.recommendations.full</x:v>
      </x:c>
      <x:c r="B174" s="8" t="str">
        <x:v>ui.recommendations.full</x:v>
      </x:c>
      <x:c r="C174" s="8" t="str">
        <x:v>ui_copy</x:v>
      </x:c>
      <x:c r="D174" s="11" t="str">
        <x:v>คำแนะนำฉบับเต็ม</x:v>
      </x:c>
      <x:c r="E174" s="11" t="str">
        <x:v>Full recommendations</x:v>
      </x:c>
      <x:c r="F174" s="8" t="str">
        <x:v>direct</x:v>
      </x:c>
      <x:c r="G174" s="8" t="str">
        <x:v>pass</x:v>
      </x:c>
      <x:c r="H174" s="8" t="str">
        <x:v>not_applicable</x:v>
      </x:c>
      <x:c r="I174" s="8" t="str">
        <x:v>pass</x:v>
      </x:c>
      <x:c r="J174" s="8" t="str">
        <x:v>pass</x:v>
      </x:c>
      <x:c r="K174" s="8" t="str">
        <x:v>pass</x:v>
      </x:c>
      <x:c r="L174" s="8" t="str">
        <x:v>pass</x:v>
      </x:c>
      <x:c r="M174" s="11" t="str"/>
      <x:c r="N174" s="8" t="str">
        <x:v>approved</x:v>
      </x:c>
      <x:c r="O174" s="8" t="str">
        <x:v>Methee</x:v>
      </x:c>
      <x:c r="P174" s="9" t="str">
        <x:v>⁠2026-07-29T00:00:00+07:00</x:v>
      </x:c>
      <x:c r="Q174" s="10" t="n">
        <x:v>1</x:v>
      </x:c>
      <x:c r="R174" s="8" t="str">
        <x:v>current_app_recommendation_copy</x:v>
      </x:c>
      <x:c r="S174" s="8" t="str"/>
    </x:row>
    <x:row r="175" ht="48" customHeight="1">
      <x:c r="A175" s="8" t="str">
        <x:v>report.selected_recommendations</x:v>
      </x:c>
      <x:c r="B175" s="8" t="str">
        <x:v>report.selected_recommendations</x:v>
      </x:c>
      <x:c r="C175" s="8" t="str">
        <x:v>ui_copy</x:v>
      </x:c>
      <x:c r="D175" s="11" t="str">
        <x:v>คำแนะนำที่เลือก</x:v>
      </x:c>
      <x:c r="E175" s="11" t="str">
        <x:v>Selected recommendations</x:v>
      </x:c>
      <x:c r="F175" s="8" t="str">
        <x:v>direct</x:v>
      </x:c>
      <x:c r="G175" s="8" t="str">
        <x:v>pass</x:v>
      </x:c>
      <x:c r="H175" s="8" t="str">
        <x:v>not_applicable</x:v>
      </x:c>
      <x:c r="I175" s="8" t="str">
        <x:v>pass</x:v>
      </x:c>
      <x:c r="J175" s="8" t="str">
        <x:v>pass</x:v>
      </x:c>
      <x:c r="K175" s="8" t="str">
        <x:v>pass</x:v>
      </x:c>
      <x:c r="L175" s="8" t="str">
        <x:v>pass</x:v>
      </x:c>
      <x:c r="M175" s="11" t="str"/>
      <x:c r="N175" s="8" t="str">
        <x:v>approved</x:v>
      </x:c>
      <x:c r="O175" s="8" t="str">
        <x:v>Methee</x:v>
      </x:c>
      <x:c r="P175" s="9" t="str">
        <x:v>⁠2026-07-29T00:00:00+07:00</x:v>
      </x:c>
      <x:c r="Q175" s="10" t="n">
        <x:v>1</x:v>
      </x:c>
      <x:c r="R175" s="8" t="str">
        <x:v>current_app_recommendation_copy</x:v>
      </x:c>
      <x:c r="S175" s="8" t="str"/>
    </x:row>
    <x:row r="176" ht="48" customHeight="1">
      <x:c r="A176" s="8" t="str">
        <x:v>system.unmapped_saved_recommendation</x:v>
      </x:c>
      <x:c r="B176" s="8" t="str">
        <x:v>system.unmapped_saved_recommendation</x:v>
      </x:c>
      <x:c r="C176" s="8" t="str">
        <x:v>system_message</x:v>
      </x:c>
      <x:c r="D176" s="11" t="str">
        <x:v>ไม่สามารถจับคู่คำแนะนำเดิมกับรายการปัจจุบันได้</x:v>
      </x:c>
      <x:c r="E176" s="11" t="str">
        <x:v>A saved recommendation could not be matched to the current approved catalog.</x:v>
      </x:c>
      <x:c r="F176" s="8" t="str">
        <x:v>plain_english</x:v>
      </x:c>
      <x:c r="G176" s="8" t="str">
        <x:v>pass</x:v>
      </x:c>
      <x:c r="H176" s="8" t="str">
        <x:v>not_applicable</x:v>
      </x:c>
      <x:c r="I176" s="8" t="str">
        <x:v>pass</x:v>
      </x:c>
      <x:c r="J176" s="8" t="str">
        <x:v>pass</x:v>
      </x:c>
      <x:c r="K176" s="8" t="str">
        <x:v>pass</x:v>
      </x:c>
      <x:c r="L176" s="8" t="str">
        <x:v>pass</x:v>
      </x:c>
      <x:c r="M176" s="11" t="str"/>
      <x:c r="N176" s="8" t="str">
        <x:v>approved</x:v>
      </x:c>
      <x:c r="O176" s="8" t="str">
        <x:v>Methee</x:v>
      </x:c>
      <x:c r="P176" s="9" t="str">
        <x:v>⁠2026-07-29T00:00:00+07:00</x:v>
      </x:c>
      <x:c r="Q176" s="10" t="n">
        <x:v>1</x:v>
      </x:c>
      <x:c r="R176" s="8" t="str">
        <x:v>current_app_recommendation_copy</x:v>
      </x:c>
      <x:c r="S176" s="8" t="str"/>
    </x:row>
  </x:sheetData>
  <x:conditionalFormatting sqref="N2:N176">
    <x:cfRule type="containsText" dxfId="0" priority="1" operator="containsText" text="approved"/>
    <x:cfRule type="containsText" dxfId="1" priority="2" operator="containsText" text="pending"/>
    <x:cfRule type="containsText" dxfId="2" priority="3" operator="containsText" text="needs_revision"/>
    <x:cfRule type="containsText" dxfId="3" priority="4" operator="containsText" text="rejected"/>
  </x:conditionalFormatting>
  <x:dataValidations count="3">
    <x:dataValidation type="list" sqref="N2:N176">
      <x:formula1>"pending,needs_revision,rejected,approved"</x:formula1>
    </x:dataValidation>
    <x:dataValidation type="list" sqref="F2:F176">
      <x:formula1>"direct,plain_english"</x:formula1>
    </x:dataValidation>
    <x:dataValidation type="list" sqref="L2:L176">
      <x:formula1>"pending_human_review,pass,needs_revision"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f3d78306940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12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5" hidden="0" customWidth="1"/>
    <x:col min="11" max="11" width="34" hidden="0" customWidth="1"/>
    <x:col min="12" max="12" width="13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45" hidden="0" customWidth="1"/>
    <x:col min="18" max="18" width="45" hidden="0" customWidth="1"/>
  </x:cols>
  <x:sheetData>
    <x:row r="1" ht="34" customHeight="1">
      <x:c r="A1" s="7" t="str">
        <x:v>recommendation_id</x:v>
      </x:c>
      <x:c r="B1" s="7" t="str">
        <x:v>selection_key</x:v>
      </x:c>
      <x:c r="C1" s="7" t="str">
        <x:v>display_order</x:v>
      </x:c>
      <x:c r="D1" s="7" t="str">
        <x:v>record_type</x:v>
      </x:c>
      <x:c r="E1" s="7" t="str">
        <x:v>category</x:v>
      </x:c>
      <x:c r="F1" s="7" t="str">
        <x:v>activity</x:v>
      </x:c>
      <x:c r="G1" s="7" t="str">
        <x:v>body_part</x:v>
      </x:c>
      <x:c r="H1" s="7" t="str">
        <x:v>risk_level</x:v>
      </x:c>
      <x:c r="I1" s="7" t="str">
        <x:v>trigger_condition</x:v>
      </x:c>
      <x:c r="J1" s="7" t="str">
        <x:v>thai_source_text</x:v>
      </x:c>
      <x:c r="K1" s="7" t="str">
        <x:v>source_id</x:v>
      </x:c>
      <x:c r="L1" s="7" t="str">
        <x:v>source_page</x:v>
      </x:c>
      <x:c r="M1" s="7" t="str">
        <x:v>source_section</x:v>
      </x:c>
      <x:c r="N1" s="7" t="str">
        <x:v>source_priority</x:v>
      </x:c>
      <x:c r="O1" s="7" t="str">
        <x:v>catalog_version</x:v>
      </x:c>
      <x:c r="P1" s="7" t="str">
        <x:v>record_status</x:v>
      </x:c>
      <x:c r="Q1" s="7" t="str">
        <x:v>legacy_text_th</x:v>
      </x:c>
      <x:c r="R1" s="7" t="str">
        <x:v>legacy_text_en</x:v>
      </x:c>
    </x:row>
    <x:row r="2" ht="48" customHeight="1">
      <x:c r="A2" s="8" t="str">
        <x:v>act_adj_eye_level.01</x:v>
      </x:c>
      <x:c r="B2" s="8" t="str">
        <x:v>act_adj_eye_level</x:v>
      </x:c>
      <x:c r="C2" s="8" t="n">
        <x:v>1</x:v>
      </x:c>
      <x:c r="D2" s="8" t="str">
        <x:v>recommendation</x:v>
      </x:c>
      <x:c r="E2" s="11" t="str">
        <x:v>posture</x:v>
      </x:c>
      <x:c r="F2" s="11" t="str">
        <x:v>any</x:v>
      </x:c>
      <x:c r="G2" s="11" t="str">
        <x:v>any</x:v>
      </x:c>
      <x:c r="H2" s="11" t="str">
        <x:v>any</x:v>
      </x:c>
      <x:c r="I2" s="11" t="str">
        <x:v>selection_key_selected</x:v>
      </x:c>
      <x:c r="J2" s="11" t="str">
        <x:v>ปรับงานให้อยู่ระดับสายตา</x:v>
      </x:c>
      <x:c r="K2" s="8" t="str">
        <x:v>body_map_recommendations</x:v>
      </x:c>
      <x:c r="L2" s="8" t="str">
        <x:v>1-2</x:v>
      </x:c>
      <x:c r="M2" s="11" t="str">
        <x:v>Neck</x:v>
      </x:c>
      <x:c r="N2" s="11" t="n">
        <x:v>1</x:v>
      </x:c>
      <x:c r="O2" s="11" t="str">
        <x:v>2026-07-29.1</x:v>
      </x:c>
      <x:c r="P2" s="11" t="str">
        <x:v>source_verified</x:v>
      </x:c>
      <x:c r="Q2" s="11" t="str">
        <x:v>ปรับงานให้อยู่ระดับสายตา ลดการก้มคอ</x:v>
      </x:c>
      <x:c r="R2" s="11" t="str">
        <x:v>Adjust work to eye level</x:v>
      </x:c>
    </x:row>
    <x:row r="3" ht="48" customHeight="1">
      <x:c r="A3" s="8" t="str">
        <x:v>act_adj_eye_level.02</x:v>
      </x:c>
      <x:c r="B3" s="8" t="str">
        <x:v>act_adj_eye_level</x:v>
      </x:c>
      <x:c r="C3" s="8" t="n">
        <x:v>2</x:v>
      </x:c>
      <x:c r="D3" s="8" t="str">
        <x:v>recommendation</x:v>
      </x:c>
      <x:c r="E3" s="11" t="str">
        <x:v>posture</x:v>
      </x:c>
      <x:c r="F3" s="11" t="str">
        <x:v>any</x:v>
      </x:c>
      <x:c r="G3" s="11" t="str">
        <x:v>any</x:v>
      </x:c>
      <x:c r="H3" s="11" t="str">
        <x:v>any</x:v>
      </x:c>
      <x:c r="I3" s="11" t="str">
        <x:v>selection_key_selected</x:v>
      </x:c>
      <x:c r="J3" s="11" t="str">
        <x:v>ลดการก้มคอ</x:v>
      </x:c>
      <x:c r="K3" s="8" t="str">
        <x:v>body_map_recommendations</x:v>
      </x:c>
      <x:c r="L3" s="8" t="str">
        <x:v>1-2</x:v>
      </x:c>
      <x:c r="M3" s="11" t="str">
        <x:v>Neck</x:v>
      </x:c>
      <x:c r="N3" s="11" t="n">
        <x:v>1</x:v>
      </x:c>
      <x:c r="O3" s="11" t="str">
        <x:v>2026-07-29.1</x:v>
      </x:c>
      <x:c r="P3" s="11" t="str">
        <x:v>source_verified</x:v>
      </x:c>
      <x:c r="Q3" s="11" t="str"/>
      <x:c r="R3" s="11" t="str"/>
    </x:row>
    <x:row r="4" ht="48" customHeight="1">
      <x:c r="A4" s="8" t="str">
        <x:v>act_adj_wrist.01</x:v>
      </x:c>
      <x:c r="B4" s="8" t="str">
        <x:v>act_adj_wrist</x:v>
      </x:c>
      <x:c r="C4" s="8" t="n">
        <x:v>1</x:v>
      </x:c>
      <x:c r="D4" s="8" t="str">
        <x:v>recommendation</x:v>
      </x:c>
      <x:c r="E4" s="11" t="str">
        <x:v>posture</x:v>
      </x:c>
      <x:c r="F4" s="11" t="str">
        <x:v>any</x:v>
      </x:c>
      <x:c r="G4" s="11" t="str">
        <x:v>any</x:v>
      </x:c>
      <x:c r="H4" s="11" t="str">
        <x:v>any</x:v>
      </x:c>
      <x:c r="I4" s="11" t="str">
        <x:v>selection_key_selected</x:v>
      </x:c>
      <x:c r="J4" s="11" t="str">
        <x:v>ปรับด้ามจับเครื่องมือให้ข้อมืออยู่ในแนวตรง</x:v>
      </x:c>
      <x:c r="K4" s="8" t="str">
        <x:v>body_map_recommendations</x:v>
      </x:c>
      <x:c r="L4" s="8" t="str">
        <x:v>5-6</x:v>
      </x:c>
      <x:c r="M4" s="11" t="str">
        <x:v>Wrist and hand</x:v>
      </x:c>
      <x:c r="N4" s="11" t="n">
        <x:v>1</x:v>
      </x:c>
      <x:c r="O4" s="11" t="str">
        <x:v>2026-07-29.1</x:v>
      </x:c>
      <x:c r="P4" s="11" t="str">
        <x:v>source_verified</x:v>
      </x:c>
      <x:c r="Q4" s="11" t="str">
        <x:v>ปรับด้ามจับเครื่องมือให้ข้อมืออยู่ในแนวตรง</x:v>
      </x:c>
      <x:c r="R4" s="11" t="str">
        <x:v>Keep wrist in neutral position</x:v>
      </x:c>
    </x:row>
    <x:row r="5" ht="48" customHeight="1">
      <x:c r="A5" s="8" t="str">
        <x:v>act_avoid_bend.01</x:v>
      </x:c>
      <x:c r="B5" s="8" t="str">
        <x:v>act_avoid_bend</x:v>
      </x:c>
      <x:c r="C5" s="8" t="n">
        <x:v>1</x:v>
      </x:c>
      <x:c r="D5" s="8" t="str">
        <x:v>recommendation</x:v>
      </x:c>
      <x:c r="E5" s="11" t="str">
        <x:v>posture</x:v>
      </x:c>
      <x:c r="F5" s="11" t="str">
        <x:v>any</x:v>
      </x:c>
      <x:c r="G5" s="11" t="str">
        <x:v>any</x:v>
      </x:c>
      <x:c r="H5" s="11" t="str">
        <x:v>any</x:v>
      </x:c>
      <x:c r="I5" s="11" t="str">
        <x:v>selection_key_selected</x:v>
      </x:c>
      <x:c r="J5" s="11" t="str">
        <x:v>ลดการก้มโดยยกพื้นที่ทำงานให้สูงขึ้น</x:v>
      </x:c>
      <x:c r="K5" s="8" t="str">
        <x:v>body_map_recommendations</x:v>
      </x:c>
      <x:c r="L5" s="8" t="str">
        <x:v>2-3</x:v>
      </x:c>
      <x:c r="M5" s="11" t="str">
        <x:v>Neck and trunk</x:v>
      </x:c>
      <x:c r="N5" s="11" t="n">
        <x:v>1</x:v>
      </x:c>
      <x:c r="O5" s="11" t="str">
        <x:v>2026-07-29.1</x:v>
      </x:c>
      <x:c r="P5" s="11" t="str">
        <x:v>source_verified</x:v>
      </x:c>
      <x:c r="Q5" s="11" t="str">
        <x:v>หลีกเลี่ยงการก้มหลังมาก หรือใช้เข็มขัดพยุงหลัง</x:v>
      </x:c>
      <x:c r="R5" s="11" t="str">
        <x:v>Avoid deep bending or use back support</x:v>
      </x:c>
    </x:row>
    <x:row r="6" ht="48" customHeight="1">
      <x:c r="A6" s="8" t="str">
        <x:v>act_avoid_twist.01</x:v>
      </x:c>
      <x:c r="B6" s="8" t="str">
        <x:v>act_avoid_twist</x:v>
      </x:c>
      <x:c r="C6" s="8" t="n">
        <x:v>1</x:v>
      </x:c>
      <x:c r="D6" s="8" t="str">
        <x:v>recommendation</x:v>
      </x:c>
      <x:c r="E6" s="11" t="str">
        <x:v>posture</x:v>
      </x:c>
      <x:c r="F6" s="11" t="str">
        <x:v>any</x:v>
      </x:c>
      <x:c r="G6" s="11" t="str">
        <x:v>any</x:v>
      </x:c>
      <x:c r="H6" s="11" t="str">
        <x:v>any</x:v>
      </x:c>
      <x:c r="I6" s="11" t="str">
        <x:v>selection_key_selected</x:v>
      </x:c>
      <x:c r="J6" s="11" t="str">
        <x:v>หลีกเลี่ยงการบิดลำตัวหรือเอียงตัวขณะทำงาน</x:v>
      </x:c>
      <x:c r="K6" s="8" t="str">
        <x:v>body_map_recommendations</x:v>
      </x:c>
      <x:c r="L6" s="8" t="str">
        <x:v>2-3</x:v>
      </x:c>
      <x:c r="M6" s="11" t="str">
        <x:v>Avoid twisting</x:v>
      </x:c>
      <x:c r="N6" s="11" t="n">
        <x:v>1</x:v>
      </x:c>
      <x:c r="O6" s="11" t="str">
        <x:v>2026-07-29.1</x:v>
      </x:c>
      <x:c r="P6" s="11" t="str">
        <x:v>source_verified</x:v>
      </x:c>
      <x:c r="Q6" s="11" t="str">
        <x:v>หลีกเลี่ยงการบิดลำตัวหรือเอียงตัวขณะทำงาน</x:v>
      </x:c>
      <x:c r="R6" s="11" t="str">
        <x:v>Avoid twisting or side bending while working</x:v>
      </x:c>
    </x:row>
    <x:row r="7" ht="48" customHeight="1">
      <x:c r="A7" s="8" t="str">
        <x:v>act_body_arms_high.01</x:v>
      </x:c>
      <x:c r="B7" s="8" t="str">
        <x:v>act_body_arms_high</x:v>
      </x:c>
      <x:c r="C7" s="8" t="n">
        <x:v>1</x:v>
      </x:c>
      <x:c r="D7" s="8" t="str">
        <x:v>recommendation</x:v>
      </x:c>
      <x:c r="E7" s="11" t="str">
        <x:v>posture</x:v>
      </x:c>
      <x:c r="F7" s="11" t="str">
        <x:v>any</x:v>
      </x:c>
      <x:c r="G7" s="11" t="str">
        <x:v>arms</x:v>
      </x:c>
      <x:c r="H7" s="11" t="str">
        <x:v>high</x:v>
      </x:c>
      <x:c r="I7" s="11" t="str">
        <x:v>body_part_risk_matches</x:v>
      </x:c>
      <x:c r="J7" s="11" t="str">
        <x:v>ไม่ยกแขนเหนือไหล่ต่อเนื่องเกิน 2 นาที</x:v>
      </x:c>
      <x:c r="K7" s="8" t="str">
        <x:v>body_map_recommendations</x:v>
      </x:c>
      <x:c r="L7" s="8" t="str">
        <x:v>4</x:v>
      </x:c>
      <x:c r="M7" s="11" t="str">
        <x:v>act_body_arms_high</x:v>
      </x:c>
      <x:c r="N7" s="11" t="n">
        <x:v>1</x:v>
      </x:c>
      <x:c r="O7" s="11" t="str">
        <x:v>2026-07-29.1</x:v>
      </x:c>
      <x:c r="P7" s="11" t="str">
        <x:v>source_verified</x:v>
      </x:c>
      <x:c r="Q7" s="11" t="str">
        <x:v>ไม่ยกแขนเหนือไหล่ต่อเนื่องเกิน 2 นาที พักแขน 3-5 นาทีทุก 15-20 นาที และใช้เครื่องมือด้ามยาวหรือแท่นยืนที่มั่นคง</x:v>
      </x:c>
      <x:c r="R7" s="11" t="str">
        <x:v>Do not keep arms above shoulder level for more than 2 minutes; rest 3-5 minutes every 15-20 minutes and use long-handled tools or a stable platform.</x:v>
      </x:c>
    </x:row>
    <x:row r="8" ht="48" customHeight="1">
      <x:c r="A8" s="8" t="str">
        <x:v>act_body_arms_high.02</x:v>
      </x:c>
      <x:c r="B8" s="8" t="str">
        <x:v>act_body_arms_high</x:v>
      </x:c>
      <x:c r="C8" s="8" t="n">
        <x:v>2</x:v>
      </x:c>
      <x:c r="D8" s="8" t="str">
        <x:v>recommendation</x:v>
      </x:c>
      <x:c r="E8" s="11" t="str">
        <x:v>posture</x:v>
      </x:c>
      <x:c r="F8" s="11" t="str">
        <x:v>any</x:v>
      </x:c>
      <x:c r="G8" s="11" t="str">
        <x:v>arms</x:v>
      </x:c>
      <x:c r="H8" s="11" t="str">
        <x:v>high</x:v>
      </x:c>
      <x:c r="I8" s="11" t="str">
        <x:v>body_part_risk_matches</x:v>
      </x:c>
      <x:c r="J8" s="11" t="str">
        <x:v>พักแขน 3-5 นาทีทุก 15-20 นาที</x:v>
      </x:c>
      <x:c r="K8" s="8" t="str">
        <x:v>body_map_recommendations</x:v>
      </x:c>
      <x:c r="L8" s="8" t="str">
        <x:v>4</x:v>
      </x:c>
      <x:c r="M8" s="11" t="str">
        <x:v>act_body_arms_high</x:v>
      </x:c>
      <x:c r="N8" s="11" t="n">
        <x:v>1</x:v>
      </x:c>
      <x:c r="O8" s="11" t="str">
        <x:v>2026-07-29.1</x:v>
      </x:c>
      <x:c r="P8" s="11" t="str">
        <x:v>source_verified</x:v>
      </x:c>
      <x:c r="Q8" s="11" t="str"/>
      <x:c r="R8" s="11" t="str"/>
    </x:row>
    <x:row r="9" ht="48" customHeight="1">
      <x:c r="A9" s="8" t="str">
        <x:v>act_body_arms_high.03</x:v>
      </x:c>
      <x:c r="B9" s="8" t="str">
        <x:v>act_body_arms_high</x:v>
      </x:c>
      <x:c r="C9" s="8" t="n">
        <x:v>3</x:v>
      </x:c>
      <x:c r="D9" s="8" t="str">
        <x:v>recommendation</x:v>
      </x:c>
      <x:c r="E9" s="11" t="str">
        <x:v>posture</x:v>
      </x:c>
      <x:c r="F9" s="11" t="str">
        <x:v>any</x:v>
      </x:c>
      <x:c r="G9" s="11" t="str">
        <x:v>arms</x:v>
      </x:c>
      <x:c r="H9" s="11" t="str">
        <x:v>high</x:v>
      </x:c>
      <x:c r="I9" s="11" t="str">
        <x:v>body_part_risk_matches</x:v>
      </x:c>
      <x:c r="J9" s="11" t="str">
        <x:v>ใช้เครื่องมือด้ามยาวหรือแท่นยืนที่มั่นคง</x:v>
      </x:c>
      <x:c r="K9" s="8" t="str">
        <x:v>body_map_recommendations</x:v>
      </x:c>
      <x:c r="L9" s="8" t="str">
        <x:v>4</x:v>
      </x:c>
      <x:c r="M9" s="11" t="str">
        <x:v>act_body_arms_high</x:v>
      </x:c>
      <x:c r="N9" s="11" t="n">
        <x:v>1</x:v>
      </x:c>
      <x:c r="O9" s="11" t="str">
        <x:v>2026-07-29.1</x:v>
      </x:c>
      <x:c r="P9" s="11" t="str">
        <x:v>source_verified</x:v>
      </x:c>
      <x:c r="Q9" s="11" t="str"/>
      <x:c r="R9" s="11" t="str"/>
    </x:row>
    <x:row r="10" ht="48" customHeight="1">
      <x:c r="A10" s="8" t="str">
        <x:v>act_body_arms_medium.01</x:v>
      </x:c>
      <x:c r="B10" s="8" t="str">
        <x:v>act_body_arms_medium</x:v>
      </x:c>
      <x:c r="C10" s="8" t="n">
        <x:v>1</x:v>
      </x:c>
      <x:c r="D10" s="8" t="str">
        <x:v>recommendation</x:v>
      </x:c>
      <x:c r="E10" s="11" t="str">
        <x:v>posture</x:v>
      </x:c>
      <x:c r="F10" s="11" t="str">
        <x:v>any</x:v>
      </x:c>
      <x:c r="G10" s="11" t="str">
        <x:v>arms</x:v>
      </x:c>
      <x:c r="H10" s="11" t="str">
        <x:v>medium</x:v>
      </x:c>
      <x:c r="I10" s="11" t="str">
        <x:v>body_part_risk_matches</x:v>
      </x:c>
      <x:c r="J10" s="11" t="str">
        <x:v>จัดวัสดุให้อยู่ในระยะเอื้อมไม่เกิน 40 ซม.</x:v>
      </x:c>
      <x:c r="K10" s="8" t="str">
        <x:v>body_map_recommendations</x:v>
      </x:c>
      <x:c r="L10" s="8" t="str">
        <x:v>4</x:v>
      </x:c>
      <x:c r="M10" s="11" t="str">
        <x:v>act_body_arms_medium</x:v>
      </x:c>
      <x:c r="N10" s="11" t="n">
        <x:v>1</x:v>
      </x:c>
      <x:c r="O10" s="11" t="str">
        <x:v>2026-07-29.1</x:v>
      </x:c>
      <x:c r="P10" s="11" t="str">
        <x:v>source_verified</x:v>
      </x:c>
      <x:c r="Q10" s="11" t="str">
        <x:v>จัดวัสดุให้อยู่ในระยะเอื้อมไม่เกิน 40 ซม. วางอุปกรณ์เมื่อไม่ใช้ พักไหล่ทุก 30 นาที และให้งานอยู่ต่ำกว่าระดับไหล่</x:v>
      </x:c>
      <x:c r="R10" s="11" t="str">
        <x:v>Keep materials within 40 cm reach, put tools down when not in use, rest shoulders every 30 minutes, and keep work below shoulder height.</x:v>
      </x:c>
    </x:row>
    <x:row r="11" ht="48" customHeight="1">
      <x:c r="A11" s="8" t="str">
        <x:v>act_body_arms_medium.02</x:v>
      </x:c>
      <x:c r="B11" s="8" t="str">
        <x:v>act_body_arms_medium</x:v>
      </x:c>
      <x:c r="C11" s="8" t="n">
        <x:v>2</x:v>
      </x:c>
      <x:c r="D11" s="8" t="str">
        <x:v>recommendation</x:v>
      </x:c>
      <x:c r="E11" s="11" t="str">
        <x:v>posture</x:v>
      </x:c>
      <x:c r="F11" s="11" t="str">
        <x:v>any</x:v>
      </x:c>
      <x:c r="G11" s="11" t="str">
        <x:v>arms</x:v>
      </x:c>
      <x:c r="H11" s="11" t="str">
        <x:v>medium</x:v>
      </x:c>
      <x:c r="I11" s="11" t="str">
        <x:v>body_part_risk_matches</x:v>
      </x:c>
      <x:c r="J11" s="11" t="str">
        <x:v>วางอุปกรณ์เมื่อไม่ใช้</x:v>
      </x:c>
      <x:c r="K11" s="8" t="str">
        <x:v>body_map_recommendations</x:v>
      </x:c>
      <x:c r="L11" s="8" t="str">
        <x:v>4</x:v>
      </x:c>
      <x:c r="M11" s="11" t="str">
        <x:v>act_body_arms_medium</x:v>
      </x:c>
      <x:c r="N11" s="11" t="n">
        <x:v>1</x:v>
      </x:c>
      <x:c r="O11" s="11" t="str">
        <x:v>2026-07-29.1</x:v>
      </x:c>
      <x:c r="P11" s="11" t="str">
        <x:v>source_verified</x:v>
      </x:c>
      <x:c r="Q11" s="11" t="str"/>
      <x:c r="R11" s="11" t="str"/>
    </x:row>
    <x:row r="12" ht="48" customHeight="1">
      <x:c r="A12" s="8" t="str">
        <x:v>act_body_arms_medium.03</x:v>
      </x:c>
      <x:c r="B12" s="8" t="str">
        <x:v>act_body_arms_medium</x:v>
      </x:c>
      <x:c r="C12" s="8" t="n">
        <x:v>3</x:v>
      </x:c>
      <x:c r="D12" s="8" t="str">
        <x:v>recommendation</x:v>
      </x:c>
      <x:c r="E12" s="11" t="str">
        <x:v>posture</x:v>
      </x:c>
      <x:c r="F12" s="11" t="str">
        <x:v>any</x:v>
      </x:c>
      <x:c r="G12" s="11" t="str">
        <x:v>arms</x:v>
      </x:c>
      <x:c r="H12" s="11" t="str">
        <x:v>medium</x:v>
      </x:c>
      <x:c r="I12" s="11" t="str">
        <x:v>body_part_risk_matches</x:v>
      </x:c>
      <x:c r="J12" s="11" t="str">
        <x:v>พักไหล่ทุก 30 นาที และให้งานอยู่ต่ำกว่าระดับไหล่</x:v>
      </x:c>
      <x:c r="K12" s="8" t="str">
        <x:v>body_map_recommendations</x:v>
      </x:c>
      <x:c r="L12" s="8" t="str">
        <x:v>4</x:v>
      </x:c>
      <x:c r="M12" s="11" t="str">
        <x:v>act_body_arms_medium</x:v>
      </x:c>
      <x:c r="N12" s="11" t="n">
        <x:v>1</x:v>
      </x:c>
      <x:c r="O12" s="11" t="str">
        <x:v>2026-07-29.1</x:v>
      </x:c>
      <x:c r="P12" s="11" t="str">
        <x:v>source_verified</x:v>
      </x:c>
      <x:c r="Q12" s="11" t="str"/>
      <x:c r="R12" s="11" t="str"/>
    </x:row>
    <x:row r="13" ht="48" customHeight="1">
      <x:c r="A13" s="8" t="str">
        <x:v>act_body_arms_very_high.01</x:v>
      </x:c>
      <x:c r="B13" s="8" t="str">
        <x:v>act_body_arms_very_high</x:v>
      </x:c>
      <x:c r="C13" s="8" t="n">
        <x:v>1</x:v>
      </x:c>
      <x:c r="D13" s="8" t="str">
        <x:v>recommendation</x:v>
      </x:c>
      <x:c r="E13" s="11" t="str">
        <x:v>posture</x:v>
      </x:c>
      <x:c r="F13" s="11" t="str">
        <x:v>any</x:v>
      </x:c>
      <x:c r="G13" s="11" t="str">
        <x:v>arms</x:v>
      </x:c>
      <x:c r="H13" s="11" t="str">
        <x:v>very_high</x:v>
      </x:c>
      <x:c r="I13" s="11" t="str">
        <x:v>body_part_risk_matches</x:v>
      </x:c>
      <x:c r="J13" s="11" t="str">
        <x:v>จำกัดงานเหนือศีรษะเป็นรอบสั้น</x:v>
      </x:c>
      <x:c r="K13" s="8" t="str">
        <x:v>body_map_recommendations</x:v>
      </x:c>
      <x:c r="L13" s="8" t="str">
        <x:v>4-5</x:v>
      </x:c>
      <x:c r="M13" s="11" t="str">
        <x:v>act_body_arms_very_high</x:v>
      </x:c>
      <x:c r="N13" s="11" t="n">
        <x:v>1</x:v>
      </x:c>
      <x:c r="O13" s="11" t="str">
        <x:v>2026-07-29.1</x:v>
      </x:c>
      <x:c r="P13" s="11" t="str">
        <x:v>source_verified</x:v>
      </x:c>
      <x:c r="Q13" s="11" t="str">
        <x:v>จำกัดงานเหนือศีรษะเป็นรอบสั้น ใช้เครื่องมือด้ามยาวที่น้ำหนักเบา และสลับไปทำงานที่ใช้แขนต่ำกว่าระดับไหล่</x:v>
      </x:c>
      <x:c r="R13" s="11" t="str">
        <x:v>Limit overhead work to short rounds, use lighter long-handled tools, and rotate to work below shoulder level.</x:v>
      </x:c>
    </x:row>
    <x:row r="14" ht="48" customHeight="1">
      <x:c r="A14" s="8" t="str">
        <x:v>act_body_arms_very_high.02</x:v>
      </x:c>
      <x:c r="B14" s="8" t="str">
        <x:v>act_body_arms_very_high</x:v>
      </x:c>
      <x:c r="C14" s="8" t="n">
        <x:v>2</x:v>
      </x:c>
      <x:c r="D14" s="8" t="str">
        <x:v>recommendation</x:v>
      </x:c>
      <x:c r="E14" s="11" t="str">
        <x:v>posture</x:v>
      </x:c>
      <x:c r="F14" s="11" t="str">
        <x:v>any</x:v>
      </x:c>
      <x:c r="G14" s="11" t="str">
        <x:v>arms</x:v>
      </x:c>
      <x:c r="H14" s="11" t="str">
        <x:v>very_high</x:v>
      </x:c>
      <x:c r="I14" s="11" t="str">
        <x:v>body_part_risk_matches</x:v>
      </x:c>
      <x:c r="J14" s="11" t="str">
        <x:v>ใช้เครื่องมือด้ามยาวที่น้ำหนักเบา</x:v>
      </x:c>
      <x:c r="K14" s="8" t="str">
        <x:v>body_map_recommendations</x:v>
      </x:c>
      <x:c r="L14" s="8" t="str">
        <x:v>4-5</x:v>
      </x:c>
      <x:c r="M14" s="11" t="str">
        <x:v>act_body_arms_very_high</x:v>
      </x:c>
      <x:c r="N14" s="11" t="n">
        <x:v>1</x:v>
      </x:c>
      <x:c r="O14" s="11" t="str">
        <x:v>2026-07-29.1</x:v>
      </x:c>
      <x:c r="P14" s="11" t="str">
        <x:v>source_verified</x:v>
      </x:c>
      <x:c r="Q14" s="11" t="str"/>
      <x:c r="R14" s="11" t="str"/>
    </x:row>
    <x:row r="15" ht="48" customHeight="1">
      <x:c r="A15" s="8" t="str">
        <x:v>act_body_arms_very_high.03</x:v>
      </x:c>
      <x:c r="B15" s="8" t="str">
        <x:v>act_body_arms_very_high</x:v>
      </x:c>
      <x:c r="C15" s="8" t="n">
        <x:v>3</x:v>
      </x:c>
      <x:c r="D15" s="8" t="str">
        <x:v>recommendation</x:v>
      </x:c>
      <x:c r="E15" s="11" t="str">
        <x:v>posture</x:v>
      </x:c>
      <x:c r="F15" s="11" t="str">
        <x:v>any</x:v>
      </x:c>
      <x:c r="G15" s="11" t="str">
        <x:v>arms</x:v>
      </x:c>
      <x:c r="H15" s="11" t="str">
        <x:v>very_high</x:v>
      </x:c>
      <x:c r="I15" s="11" t="str">
        <x:v>body_part_risk_matches</x:v>
      </x:c>
      <x:c r="J15" s="11" t="str">
        <x:v>สลับไปทำงานที่ใช้แขนต่ำกว่าระดับไหล่</x:v>
      </x:c>
      <x:c r="K15" s="8" t="str">
        <x:v>body_map_recommendations</x:v>
      </x:c>
      <x:c r="L15" s="8" t="str">
        <x:v>4-5</x:v>
      </x:c>
      <x:c r="M15" s="11" t="str">
        <x:v>act_body_arms_very_high</x:v>
      </x:c>
      <x:c r="N15" s="11" t="n">
        <x:v>1</x:v>
      </x:c>
      <x:c r="O15" s="11" t="str">
        <x:v>2026-07-29.1</x:v>
      </x:c>
      <x:c r="P15" s="11" t="str">
        <x:v>source_verified</x:v>
      </x:c>
      <x:c r="Q15" s="11" t="str"/>
      <x:c r="R15" s="11" t="str"/>
    </x:row>
    <x:row r="16" ht="48" customHeight="1">
      <x:c r="A16" s="8" t="str">
        <x:v>act_body_legs_high.01</x:v>
      </x:c>
      <x:c r="B16" s="8" t="str">
        <x:v>act_body_legs_high</x:v>
      </x:c>
      <x:c r="C16" s="8" t="n">
        <x:v>1</x:v>
      </x:c>
      <x:c r="D16" s="8" t="str">
        <x:v>recommendation</x:v>
      </x:c>
      <x:c r="E16" s="11" t="str">
        <x:v>posture</x:v>
      </x:c>
      <x:c r="F16" s="11" t="str">
        <x:v>any</x:v>
      </x:c>
      <x:c r="G16" s="11" t="str">
        <x:v>legs</x:v>
      </x:c>
      <x:c r="H16" s="11" t="str">
        <x:v>high</x:v>
      </x:c>
      <x:c r="I16" s="11" t="str">
        <x:v>body_part_risk_matches</x:v>
      </x:c>
      <x:c r="J16" s="11" t="str">
        <x:v>ไม่นั่งยองหรือคุกเข่าต่อเนื่องเกิน 15 นาที</x:v>
      </x:c>
      <x:c r="K16" s="8" t="str">
        <x:v>body_map_recommendations</x:v>
      </x:c>
      <x:c r="L16" s="8" t="str">
        <x:v>6-7</x:v>
      </x:c>
      <x:c r="M16" s="11" t="str">
        <x:v>act_body_legs_high</x:v>
      </x:c>
      <x:c r="N16" s="11" t="n">
        <x:v>1</x:v>
      </x:c>
      <x:c r="O16" s="11" t="str">
        <x:v>2026-07-29.1</x:v>
      </x:c>
      <x:c r="P16" s="11" t="str">
        <x:v>source_verified</x:v>
      </x:c>
      <x:c r="Q16" s="11" t="str">
        <x:v>ไม่นั่งยองหรือคุกเข่าต่อเนื่องเกิน 15 นาที ลุกเดิน 3-5 นาทีทุก 15 นาที และใช้เก้าอี้เตี้ยหรือแผ่นรองเข่า</x:v>
      </x:c>
      <x:c r="R16" s="11" t="str">
        <x:v>Do not squat or kneel continuously for more than 15 minutes; walk 3-5 minutes every 15 minutes and use a low stool or knee pad.</x:v>
      </x:c>
    </x:row>
    <x:row r="17" ht="48" customHeight="1">
      <x:c r="A17" s="8" t="str">
        <x:v>act_body_legs_high.02</x:v>
      </x:c>
      <x:c r="B17" s="8" t="str">
        <x:v>act_body_legs_high</x:v>
      </x:c>
      <x:c r="C17" s="8" t="n">
        <x:v>2</x:v>
      </x:c>
      <x:c r="D17" s="8" t="str">
        <x:v>recommendation</x:v>
      </x:c>
      <x:c r="E17" s="11" t="str">
        <x:v>posture</x:v>
      </x:c>
      <x:c r="F17" s="11" t="str">
        <x:v>any</x:v>
      </x:c>
      <x:c r="G17" s="11" t="str">
        <x:v>legs</x:v>
      </x:c>
      <x:c r="H17" s="11" t="str">
        <x:v>high</x:v>
      </x:c>
      <x:c r="I17" s="11" t="str">
        <x:v>body_part_risk_matches</x:v>
      </x:c>
      <x:c r="J17" s="11" t="str">
        <x:v>ลุกเดิน 3-5 นาทีทุก 15 นาที</x:v>
      </x:c>
      <x:c r="K17" s="8" t="str">
        <x:v>body_map_recommendations</x:v>
      </x:c>
      <x:c r="L17" s="8" t="str">
        <x:v>6-7</x:v>
      </x:c>
      <x:c r="M17" s="11" t="str">
        <x:v>act_body_legs_high</x:v>
      </x:c>
      <x:c r="N17" s="11" t="n">
        <x:v>1</x:v>
      </x:c>
      <x:c r="O17" s="11" t="str">
        <x:v>2026-07-29.1</x:v>
      </x:c>
      <x:c r="P17" s="11" t="str">
        <x:v>source_verified</x:v>
      </x:c>
      <x:c r="Q17" s="11" t="str"/>
      <x:c r="R17" s="11" t="str"/>
    </x:row>
    <x:row r="18" ht="48" customHeight="1">
      <x:c r="A18" s="8" t="str">
        <x:v>act_body_legs_high.03</x:v>
      </x:c>
      <x:c r="B18" s="8" t="str">
        <x:v>act_body_legs_high</x:v>
      </x:c>
      <x:c r="C18" s="8" t="n">
        <x:v>3</x:v>
      </x:c>
      <x:c r="D18" s="8" t="str">
        <x:v>recommendation</x:v>
      </x:c>
      <x:c r="E18" s="11" t="str">
        <x:v>posture</x:v>
      </x:c>
      <x:c r="F18" s="11" t="str">
        <x:v>any</x:v>
      </x:c>
      <x:c r="G18" s="11" t="str">
        <x:v>legs</x:v>
      </x:c>
      <x:c r="H18" s="11" t="str">
        <x:v>high</x:v>
      </x:c>
      <x:c r="I18" s="11" t="str">
        <x:v>body_part_risk_matches</x:v>
      </x:c>
      <x:c r="J18" s="11" t="str">
        <x:v>ใช้เก้าอี้เตี้ยหรือแผ่นรองเข่า</x:v>
      </x:c>
      <x:c r="K18" s="8" t="str">
        <x:v>body_map_recommendations</x:v>
      </x:c>
      <x:c r="L18" s="8" t="str">
        <x:v>6-7</x:v>
      </x:c>
      <x:c r="M18" s="11" t="str">
        <x:v>act_body_legs_high</x:v>
      </x:c>
      <x:c r="N18" s="11" t="n">
        <x:v>1</x:v>
      </x:c>
      <x:c r="O18" s="11" t="str">
        <x:v>2026-07-29.1</x:v>
      </x:c>
      <x:c r="P18" s="11" t="str">
        <x:v>source_verified</x:v>
      </x:c>
      <x:c r="Q18" s="11" t="str"/>
      <x:c r="R18" s="11" t="str"/>
    </x:row>
    <x:row r="19" ht="48" customHeight="1">
      <x:c r="A19" s="8" t="str">
        <x:v>act_body_legs_medium.01</x:v>
      </x:c>
      <x:c r="B19" s="8" t="str">
        <x:v>act_body_legs_medium</x:v>
      </x:c>
      <x:c r="C19" s="8" t="n">
        <x:v>1</x:v>
      </x:c>
      <x:c r="D19" s="8" t="str">
        <x:v>recommendation</x:v>
      </x:c>
      <x:c r="E19" s="11" t="str">
        <x:v>posture</x:v>
      </x:c>
      <x:c r="F19" s="11" t="str">
        <x:v>any</x:v>
      </x:c>
      <x:c r="G19" s="11" t="str">
        <x:v>legs</x:v>
      </x:c>
      <x:c r="H19" s="11" t="str">
        <x:v>medium</x:v>
      </x:c>
      <x:c r="I19" s="11" t="str">
        <x:v>body_part_risk_matches</x:v>
      </x:c>
      <x:c r="J19" s="11" t="str">
        <x:v>ลุกยืนหรือเดินทุก 20 นาที</x:v>
      </x:c>
      <x:c r="K19" s="8" t="str">
        <x:v>body_map_recommendations</x:v>
      </x:c>
      <x:c r="L19" s="8" t="str">
        <x:v>6</x:v>
      </x:c>
      <x:c r="M19" s="11" t="str">
        <x:v>act_body_legs_medium</x:v>
      </x:c>
      <x:c r="N19" s="11" t="n">
        <x:v>1</x:v>
      </x:c>
      <x:c r="O19" s="11" t="str">
        <x:v>2026-07-29.1</x:v>
      </x:c>
      <x:c r="P19" s="11" t="str">
        <x:v>source_verified</x:v>
      </x:c>
      <x:c r="Q19" s="11" t="str">
        <x:v>ลุกยืนหรือเดินทุก 20 นาที ใช้เบาะรองนั่งหรือแผ่นรองเข่า และสลับระหว่างนั่ง ยืน และเดิน</x:v>
      </x:c>
      <x:c r="R19" s="11" t="str">
        <x:v>Stand or walk every 20 minutes, use a squat cushion or knee pad, and alternate between sitting, standing, and walking.</x:v>
      </x:c>
    </x:row>
    <x:row r="20" ht="48" customHeight="1">
      <x:c r="A20" s="8" t="str">
        <x:v>act_body_legs_medium.02</x:v>
      </x:c>
      <x:c r="B20" s="8" t="str">
        <x:v>act_body_legs_medium</x:v>
      </x:c>
      <x:c r="C20" s="8" t="n">
        <x:v>2</x:v>
      </x:c>
      <x:c r="D20" s="8" t="str">
        <x:v>recommendation</x:v>
      </x:c>
      <x:c r="E20" s="11" t="str">
        <x:v>posture</x:v>
      </x:c>
      <x:c r="F20" s="11" t="str">
        <x:v>any</x:v>
      </x:c>
      <x:c r="G20" s="11" t="str">
        <x:v>legs</x:v>
      </x:c>
      <x:c r="H20" s="11" t="str">
        <x:v>medium</x:v>
      </x:c>
      <x:c r="I20" s="11" t="str">
        <x:v>body_part_risk_matches</x:v>
      </x:c>
      <x:c r="J20" s="11" t="str">
        <x:v>ใช้เบาะรองนั่งหรือแผ่นรองเข่า</x:v>
      </x:c>
      <x:c r="K20" s="8" t="str">
        <x:v>body_map_recommendations</x:v>
      </x:c>
      <x:c r="L20" s="8" t="str">
        <x:v>6</x:v>
      </x:c>
      <x:c r="M20" s="11" t="str">
        <x:v>act_body_legs_medium</x:v>
      </x:c>
      <x:c r="N20" s="11" t="n">
        <x:v>1</x:v>
      </x:c>
      <x:c r="O20" s="11" t="str">
        <x:v>2026-07-29.1</x:v>
      </x:c>
      <x:c r="P20" s="11" t="str">
        <x:v>source_verified</x:v>
      </x:c>
      <x:c r="Q20" s="11" t="str"/>
      <x:c r="R20" s="11" t="str"/>
    </x:row>
    <x:row r="21" ht="48" customHeight="1">
      <x:c r="A21" s="8" t="str">
        <x:v>act_body_legs_medium.03</x:v>
      </x:c>
      <x:c r="B21" s="8" t="str">
        <x:v>act_body_legs_medium</x:v>
      </x:c>
      <x:c r="C21" s="8" t="n">
        <x:v>3</x:v>
      </x:c>
      <x:c r="D21" s="8" t="str">
        <x:v>recommendation</x:v>
      </x:c>
      <x:c r="E21" s="11" t="str">
        <x:v>posture</x:v>
      </x:c>
      <x:c r="F21" s="11" t="str">
        <x:v>any</x:v>
      </x:c>
      <x:c r="G21" s="11" t="str">
        <x:v>legs</x:v>
      </x:c>
      <x:c r="H21" s="11" t="str">
        <x:v>medium</x:v>
      </x:c>
      <x:c r="I21" s="11" t="str">
        <x:v>body_part_risk_matches</x:v>
      </x:c>
      <x:c r="J21" s="11" t="str">
        <x:v>สลับระหว่างนั่ง ยืน และเดิน</x:v>
      </x:c>
      <x:c r="K21" s="8" t="str">
        <x:v>body_map_recommendations</x:v>
      </x:c>
      <x:c r="L21" s="8" t="str">
        <x:v>6</x:v>
      </x:c>
      <x:c r="M21" s="11" t="str">
        <x:v>act_body_legs_medium</x:v>
      </x:c>
      <x:c r="N21" s="11" t="n">
        <x:v>1</x:v>
      </x:c>
      <x:c r="O21" s="11" t="str">
        <x:v>2026-07-29.1</x:v>
      </x:c>
      <x:c r="P21" s="11" t="str">
        <x:v>source_verified</x:v>
      </x:c>
      <x:c r="Q21" s="11" t="str"/>
      <x:c r="R21" s="11" t="str"/>
    </x:row>
    <x:row r="22" ht="48" customHeight="1">
      <x:c r="A22" s="8" t="str">
        <x:v>act_body_legs_very_high.01</x:v>
      </x:c>
      <x:c r="B22" s="8" t="str">
        <x:v>act_body_legs_very_high</x:v>
      </x:c>
      <x:c r="C22" s="8" t="n">
        <x:v>1</x:v>
      </x:c>
      <x:c r="D22" s="8" t="str">
        <x:v>recommendation</x:v>
      </x:c>
      <x:c r="E22" s="11" t="str">
        <x:v>posture</x:v>
      </x:c>
      <x:c r="F22" s="11" t="str">
        <x:v>any</x:v>
      </x:c>
      <x:c r="G22" s="11" t="str">
        <x:v>legs</x:v>
      </x:c>
      <x:c r="H22" s="11" t="str">
        <x:v>very_high</x:v>
      </x:c>
      <x:c r="I22" s="11" t="str">
        <x:v>body_part_risk_matches</x:v>
      </x:c>
      <x:c r="J22" s="11" t="str">
        <x:v>หลีกเลี่ยงการนั่งยองหรือคุกเข่าเกิน 10 นาที</x:v>
      </x:c>
      <x:c r="K22" s="8" t="str">
        <x:v>body_map_recommendations</x:v>
      </x:c>
      <x:c r="L22" s="8" t="str">
        <x:v>7</x:v>
      </x:c>
      <x:c r="M22" s="11" t="str">
        <x:v>act_body_legs_very_high</x:v>
      </x:c>
      <x:c r="N22" s="11" t="n">
        <x:v>1</x:v>
      </x:c>
      <x:c r="O22" s="11" t="str">
        <x:v>2026-07-29.1</x:v>
      </x:c>
      <x:c r="P22" s="11" t="str">
        <x:v>source_verified</x:v>
      </x:c>
      <x:c r="Q22" s="11" t="str">
        <x:v>หลีกเลี่ยงการนั่งยองหรือคุกเข่าเกิน 10 นาที พักทุก 10-15 นาที ใช้อุปกรณ์ช่วยทำงานระดับพื้น และลดเวลาทำงานใกล้พื้น</x:v>
      </x:c>
      <x:c r="R22" s="11" t="str">
        <x:v>Avoid squatting or kneeling for more than 10 minutes, rest every 10-15 minutes, use floor-work aids, and reduce time working near the ground.</x:v>
      </x:c>
    </x:row>
    <x:row r="23" ht="48" customHeight="1">
      <x:c r="A23" s="8" t="str">
        <x:v>act_body_legs_very_high.02</x:v>
      </x:c>
      <x:c r="B23" s="8" t="str">
        <x:v>act_body_legs_very_high</x:v>
      </x:c>
      <x:c r="C23" s="8" t="n">
        <x:v>2</x:v>
      </x:c>
      <x:c r="D23" s="8" t="str">
        <x:v>recommendation</x:v>
      </x:c>
      <x:c r="E23" s="11" t="str">
        <x:v>posture</x:v>
      </x:c>
      <x:c r="F23" s="11" t="str">
        <x:v>any</x:v>
      </x:c>
      <x:c r="G23" s="11" t="str">
        <x:v>legs</x:v>
      </x:c>
      <x:c r="H23" s="11" t="str">
        <x:v>very_high</x:v>
      </x:c>
      <x:c r="I23" s="11" t="str">
        <x:v>body_part_risk_matches</x:v>
      </x:c>
      <x:c r="J23" s="11" t="str">
        <x:v>พักทุก 10-15 นาที</x:v>
      </x:c>
      <x:c r="K23" s="8" t="str">
        <x:v>body_map_recommendations</x:v>
      </x:c>
      <x:c r="L23" s="8" t="str">
        <x:v>7</x:v>
      </x:c>
      <x:c r="M23" s="11" t="str">
        <x:v>act_body_legs_very_high</x:v>
      </x:c>
      <x:c r="N23" s="11" t="n">
        <x:v>1</x:v>
      </x:c>
      <x:c r="O23" s="11" t="str">
        <x:v>2026-07-29.1</x:v>
      </x:c>
      <x:c r="P23" s="11" t="str">
        <x:v>source_verified</x:v>
      </x:c>
      <x:c r="Q23" s="11" t="str"/>
      <x:c r="R23" s="11" t="str"/>
    </x:row>
    <x:row r="24" ht="48" customHeight="1">
      <x:c r="A24" s="8" t="str">
        <x:v>act_body_legs_very_high.03</x:v>
      </x:c>
      <x:c r="B24" s="8" t="str">
        <x:v>act_body_legs_very_high</x:v>
      </x:c>
      <x:c r="C24" s="8" t="n">
        <x:v>3</x:v>
      </x:c>
      <x:c r="D24" s="8" t="str">
        <x:v>recommendation</x:v>
      </x:c>
      <x:c r="E24" s="11" t="str">
        <x:v>posture</x:v>
      </x:c>
      <x:c r="F24" s="11" t="str">
        <x:v>any</x:v>
      </x:c>
      <x:c r="G24" s="11" t="str">
        <x:v>legs</x:v>
      </x:c>
      <x:c r="H24" s="11" t="str">
        <x:v>very_high</x:v>
      </x:c>
      <x:c r="I24" s="11" t="str">
        <x:v>body_part_risk_matches</x:v>
      </x:c>
      <x:c r="J24" s="11" t="str">
        <x:v>ใช้อุปกรณ์ช่วยทำงานระดับพื้น</x:v>
      </x:c>
      <x:c r="K24" s="8" t="str">
        <x:v>body_map_recommendations</x:v>
      </x:c>
      <x:c r="L24" s="8" t="str">
        <x:v>7</x:v>
      </x:c>
      <x:c r="M24" s="11" t="str">
        <x:v>act_body_legs_very_high</x:v>
      </x:c>
      <x:c r="N24" s="11" t="n">
        <x:v>1</x:v>
      </x:c>
      <x:c r="O24" s="11" t="str">
        <x:v>2026-07-29.1</x:v>
      </x:c>
      <x:c r="P24" s="11" t="str">
        <x:v>source_verified</x:v>
      </x:c>
      <x:c r="Q24" s="11" t="str"/>
      <x:c r="R24" s="11" t="str"/>
    </x:row>
    <x:row r="25" ht="48" customHeight="1">
      <x:c r="A25" s="8" t="str">
        <x:v>act_body_legs_very_high.04</x:v>
      </x:c>
      <x:c r="B25" s="8" t="str">
        <x:v>act_body_legs_very_high</x:v>
      </x:c>
      <x:c r="C25" s="8" t="n">
        <x:v>4</x:v>
      </x:c>
      <x:c r="D25" s="8" t="str">
        <x:v>recommendation</x:v>
      </x:c>
      <x:c r="E25" s="11" t="str">
        <x:v>posture</x:v>
      </x:c>
      <x:c r="F25" s="11" t="str">
        <x:v>any</x:v>
      </x:c>
      <x:c r="G25" s="11" t="str">
        <x:v>legs</x:v>
      </x:c>
      <x:c r="H25" s="11" t="str">
        <x:v>very_high</x:v>
      </x:c>
      <x:c r="I25" s="11" t="str">
        <x:v>body_part_risk_matches</x:v>
      </x:c>
      <x:c r="J25" s="11" t="str">
        <x:v>ลดเวลาทำงานใกล้พื้น</x:v>
      </x:c>
      <x:c r="K25" s="8" t="str">
        <x:v>body_map_recommendations</x:v>
      </x:c>
      <x:c r="L25" s="8" t="str">
        <x:v>7</x:v>
      </x:c>
      <x:c r="M25" s="11" t="str">
        <x:v>act_body_legs_very_high</x:v>
      </x:c>
      <x:c r="N25" s="11" t="n">
        <x:v>1</x:v>
      </x:c>
      <x:c r="O25" s="11" t="str">
        <x:v>2026-07-29.1</x:v>
      </x:c>
      <x:c r="P25" s="11" t="str">
        <x:v>source_verified</x:v>
      </x:c>
      <x:c r="Q25" s="11" t="str"/>
      <x:c r="R25" s="11" t="str"/>
    </x:row>
    <x:row r="26" ht="48" customHeight="1">
      <x:c r="A26" s="8" t="str">
        <x:v>act_body_manual_high.01</x:v>
      </x:c>
      <x:c r="B26" s="8" t="str">
        <x:v>act_body_manual_high</x:v>
      </x:c>
      <x:c r="C26" s="8" t="n">
        <x:v>1</x:v>
      </x:c>
      <x:c r="D26" s="8" t="str">
        <x:v>recommendation</x:v>
      </x:c>
      <x:c r="E26" s="11" t="str">
        <x:v>posture</x:v>
      </x:c>
      <x:c r="F26" s="11" t="str">
        <x:v>any</x:v>
      </x:c>
      <x:c r="G26" s="11" t="str">
        <x:v>manual</x:v>
      </x:c>
      <x:c r="H26" s="11" t="str">
        <x:v>high</x:v>
      </x:c>
      <x:c r="I26" s="11" t="str">
        <x:v>body_part_risk_matches</x:v>
      </x:c>
      <x:c r="J26" s="11" t="str">
        <x:v>แบ่งน้ำหนักต่อครั้งไม่เกิน 10 กก.</x:v>
      </x:c>
      <x:c r="K26" s="8" t="str">
        <x:v>body_map_recommendations</x:v>
      </x:c>
      <x:c r="L26" s="8" t="str">
        <x:v>7-8</x:v>
      </x:c>
      <x:c r="M26" s="11" t="str">
        <x:v>act_body_manual_high</x:v>
      </x:c>
      <x:c r="N26" s="11" t="n">
        <x:v>1</x:v>
      </x:c>
      <x:c r="O26" s="11" t="str">
        <x:v>2026-07-29.1</x:v>
      </x:c>
      <x:c r="P26" s="11" t="str">
        <x:v>source_verified</x:v>
      </x:c>
      <x:c r="Q26" s="11" t="str">
        <x:v>แบ่งน้ำหนักต่อครั้งไม่เกิน 10 กก. ใช้รถเข็นเมื่อขนไกลกว่า 10 เมตร ให้ 2 คนช่วยยกเมื่อหนักเกิน 20 กก. และหลีกเลี่ยงการบิดตัวขณะยก</x:v>
      </x:c>
      <x:c r="R26" s="11" t="str">
        <x:v>Limit each load to no more than 10 kg, use a cart for distances over 10 m, ask for two-person lifting when over 20 kg, and avoid twisting while lifting.</x:v>
      </x:c>
    </x:row>
    <x:row r="27" ht="48" customHeight="1">
      <x:c r="A27" s="8" t="str">
        <x:v>act_body_manual_high.02</x:v>
      </x:c>
      <x:c r="B27" s="8" t="str">
        <x:v>act_body_manual_high</x:v>
      </x:c>
      <x:c r="C27" s="8" t="n">
        <x:v>2</x:v>
      </x:c>
      <x:c r="D27" s="8" t="str">
        <x:v>recommendation</x:v>
      </x:c>
      <x:c r="E27" s="11" t="str">
        <x:v>posture</x:v>
      </x:c>
      <x:c r="F27" s="11" t="str">
        <x:v>any</x:v>
      </x:c>
      <x:c r="G27" s="11" t="str">
        <x:v>manual</x:v>
      </x:c>
      <x:c r="H27" s="11" t="str">
        <x:v>high</x:v>
      </x:c>
      <x:c r="I27" s="11" t="str">
        <x:v>body_part_risk_matches</x:v>
      </x:c>
      <x:c r="J27" s="11" t="str">
        <x:v>ใช้รถเข็นเมื่อขนไกลกว่า 10 เมตร ให้ 2 คนช่วยยกเมื่อหนักเกิน 20 กก.</x:v>
      </x:c>
      <x:c r="K27" s="8" t="str">
        <x:v>body_map_recommendations</x:v>
      </x:c>
      <x:c r="L27" s="8" t="str">
        <x:v>7-8</x:v>
      </x:c>
      <x:c r="M27" s="11" t="str">
        <x:v>act_body_manual_high</x:v>
      </x:c>
      <x:c r="N27" s="11" t="n">
        <x:v>1</x:v>
      </x:c>
      <x:c r="O27" s="11" t="str">
        <x:v>2026-07-29.1</x:v>
      </x:c>
      <x:c r="P27" s="11" t="str">
        <x:v>source_verified</x:v>
      </x:c>
      <x:c r="Q27" s="11" t="str"/>
      <x:c r="R27" s="11" t="str"/>
    </x:row>
    <x:row r="28" ht="48" customHeight="1">
      <x:c r="A28" s="8" t="str">
        <x:v>act_body_manual_high.03</x:v>
      </x:c>
      <x:c r="B28" s="8" t="str">
        <x:v>act_body_manual_high</x:v>
      </x:c>
      <x:c r="C28" s="8" t="n">
        <x:v>3</x:v>
      </x:c>
      <x:c r="D28" s="8" t="str">
        <x:v>recommendation</x:v>
      </x:c>
      <x:c r="E28" s="11" t="str">
        <x:v>posture</x:v>
      </x:c>
      <x:c r="F28" s="11" t="str">
        <x:v>any</x:v>
      </x:c>
      <x:c r="G28" s="11" t="str">
        <x:v>manual</x:v>
      </x:c>
      <x:c r="H28" s="11" t="str">
        <x:v>high</x:v>
      </x:c>
      <x:c r="I28" s="11" t="str">
        <x:v>body_part_risk_matches</x:v>
      </x:c>
      <x:c r="J28" s="11" t="str">
        <x:v>หลีกเลี่ยงการบิดตัวขณะยก</x:v>
      </x:c>
      <x:c r="K28" s="8" t="str">
        <x:v>body_map_recommendations</x:v>
      </x:c>
      <x:c r="L28" s="8" t="str">
        <x:v>7-8</x:v>
      </x:c>
      <x:c r="M28" s="11" t="str">
        <x:v>act_body_manual_high</x:v>
      </x:c>
      <x:c r="N28" s="11" t="n">
        <x:v>1</x:v>
      </x:c>
      <x:c r="O28" s="11" t="str">
        <x:v>2026-07-29.1</x:v>
      </x:c>
      <x:c r="P28" s="11" t="str">
        <x:v>source_verified</x:v>
      </x:c>
      <x:c r="Q28" s="11" t="str"/>
      <x:c r="R28" s="11" t="str"/>
    </x:row>
    <x:row r="29" ht="48" customHeight="1">
      <x:c r="A29" s="8" t="str">
        <x:v>act_body_manual_medium.01</x:v>
      </x:c>
      <x:c r="B29" s="8" t="str">
        <x:v>act_body_manual_medium</x:v>
      </x:c>
      <x:c r="C29" s="8" t="n">
        <x:v>1</x:v>
      </x:c>
      <x:c r="D29" s="8" t="str">
        <x:v>recommendation</x:v>
      </x:c>
      <x:c r="E29" s="11" t="str">
        <x:v>posture</x:v>
      </x:c>
      <x:c r="F29" s="11" t="str">
        <x:v>any</x:v>
      </x:c>
      <x:c r="G29" s="11" t="str">
        <x:v>manual</x:v>
      </x:c>
      <x:c r="H29" s="11" t="str">
        <x:v>medium</x:v>
      </x:c>
      <x:c r="I29" s="11" t="str">
        <x:v>body_part_risk_matches</x:v>
      </x:c>
      <x:c r="J29" s="11" t="str">
        <x:v>แบ่งถุงหรือภาชนะให้หนักไม่เกิน 15 กก.</x:v>
      </x:c>
      <x:c r="K29" s="8" t="str">
        <x:v>body_map_recommendations</x:v>
      </x:c>
      <x:c r="L29" s="8" t="str">
        <x:v>7</x:v>
      </x:c>
      <x:c r="M29" s="11" t="str">
        <x:v>act_body_manual_medium</x:v>
      </x:c>
      <x:c r="N29" s="11" t="n">
        <x:v>1</x:v>
      </x:c>
      <x:c r="O29" s="11" t="str">
        <x:v>2026-07-29.1</x:v>
      </x:c>
      <x:c r="P29" s="11" t="str">
        <x:v>source_verified</x:v>
      </x:c>
      <x:c r="Q29" s="11" t="str">
        <x:v>แบ่งถุงหรือภาชนะให้หนักไม่เกิน 15 กก. ถือของให้ชิดลำตัว ใช้สองมือช่วยยก และหลีกเลี่ยงการยกเหนือระดับไหล่</x:v>
      </x:c>
      <x:c r="R29" s="11" t="str">
        <x:v>Split each bag or container to no more than 15 kg, keep the load close to the body, lift with both hands, and avoid lifting above shoulder height.</x:v>
      </x:c>
    </x:row>
    <x:row r="30" ht="48" customHeight="1">
      <x:c r="A30" s="8" t="str">
        <x:v>act_body_manual_medium.02</x:v>
      </x:c>
      <x:c r="B30" s="8" t="str">
        <x:v>act_body_manual_medium</x:v>
      </x:c>
      <x:c r="C30" s="8" t="n">
        <x:v>2</x:v>
      </x:c>
      <x:c r="D30" s="8" t="str">
        <x:v>recommendation</x:v>
      </x:c>
      <x:c r="E30" s="11" t="str">
        <x:v>posture</x:v>
      </x:c>
      <x:c r="F30" s="11" t="str">
        <x:v>any</x:v>
      </x:c>
      <x:c r="G30" s="11" t="str">
        <x:v>manual</x:v>
      </x:c>
      <x:c r="H30" s="11" t="str">
        <x:v>medium</x:v>
      </x:c>
      <x:c r="I30" s="11" t="str">
        <x:v>body_part_risk_matches</x:v>
      </x:c>
      <x:c r="J30" s="11" t="str">
        <x:v>ถือของให้ชิดลำตัว</x:v>
      </x:c>
      <x:c r="K30" s="8" t="str">
        <x:v>body_map_recommendations</x:v>
      </x:c>
      <x:c r="L30" s="8" t="str">
        <x:v>7</x:v>
      </x:c>
      <x:c r="M30" s="11" t="str">
        <x:v>act_body_manual_medium</x:v>
      </x:c>
      <x:c r="N30" s="11" t="n">
        <x:v>1</x:v>
      </x:c>
      <x:c r="O30" s="11" t="str">
        <x:v>2026-07-29.1</x:v>
      </x:c>
      <x:c r="P30" s="11" t="str">
        <x:v>source_verified</x:v>
      </x:c>
      <x:c r="Q30" s="11" t="str"/>
      <x:c r="R30" s="11" t="str"/>
    </x:row>
    <x:row r="31" ht="48" customHeight="1">
      <x:c r="A31" s="8" t="str">
        <x:v>act_body_manual_medium.03</x:v>
      </x:c>
      <x:c r="B31" s="8" t="str">
        <x:v>act_body_manual_medium</x:v>
      </x:c>
      <x:c r="C31" s="8" t="n">
        <x:v>3</x:v>
      </x:c>
      <x:c r="D31" s="8" t="str">
        <x:v>recommendation</x:v>
      </x:c>
      <x:c r="E31" s="11" t="str">
        <x:v>posture</x:v>
      </x:c>
      <x:c r="F31" s="11" t="str">
        <x:v>any</x:v>
      </x:c>
      <x:c r="G31" s="11" t="str">
        <x:v>manual</x:v>
      </x:c>
      <x:c r="H31" s="11" t="str">
        <x:v>medium</x:v>
      </x:c>
      <x:c r="I31" s="11" t="str">
        <x:v>body_part_risk_matches</x:v>
      </x:c>
      <x:c r="J31" s="11" t="str">
        <x:v>ใช้สองมือช่วยยก</x:v>
      </x:c>
      <x:c r="K31" s="8" t="str">
        <x:v>body_map_recommendations</x:v>
      </x:c>
      <x:c r="L31" s="8" t="str">
        <x:v>7</x:v>
      </x:c>
      <x:c r="M31" s="11" t="str">
        <x:v>act_body_manual_medium</x:v>
      </x:c>
      <x:c r="N31" s="11" t="n">
        <x:v>1</x:v>
      </x:c>
      <x:c r="O31" s="11" t="str">
        <x:v>2026-07-29.1</x:v>
      </x:c>
      <x:c r="P31" s="11" t="str">
        <x:v>source_verified</x:v>
      </x:c>
      <x:c r="Q31" s="11" t="str"/>
      <x:c r="R31" s="11" t="str"/>
    </x:row>
    <x:row r="32" ht="48" customHeight="1">
      <x:c r="A32" s="8" t="str">
        <x:v>act_body_manual_medium.04</x:v>
      </x:c>
      <x:c r="B32" s="8" t="str">
        <x:v>act_body_manual_medium</x:v>
      </x:c>
      <x:c r="C32" s="8" t="n">
        <x:v>4</x:v>
      </x:c>
      <x:c r="D32" s="8" t="str">
        <x:v>recommendation</x:v>
      </x:c>
      <x:c r="E32" s="11" t="str">
        <x:v>posture</x:v>
      </x:c>
      <x:c r="F32" s="11" t="str">
        <x:v>any</x:v>
      </x:c>
      <x:c r="G32" s="11" t="str">
        <x:v>manual</x:v>
      </x:c>
      <x:c r="H32" s="11" t="str">
        <x:v>medium</x:v>
      </x:c>
      <x:c r="I32" s="11" t="str">
        <x:v>body_part_risk_matches</x:v>
      </x:c>
      <x:c r="J32" s="11" t="str">
        <x:v>หลีกเลี่ยงการยกเหนือระดับไหล่</x:v>
      </x:c>
      <x:c r="K32" s="8" t="str">
        <x:v>body_map_recommendations</x:v>
      </x:c>
      <x:c r="L32" s="8" t="str">
        <x:v>7</x:v>
      </x:c>
      <x:c r="M32" s="11" t="str">
        <x:v>act_body_manual_medium</x:v>
      </x:c>
      <x:c r="N32" s="11" t="n">
        <x:v>1</x:v>
      </x:c>
      <x:c r="O32" s="11" t="str">
        <x:v>2026-07-29.1</x:v>
      </x:c>
      <x:c r="P32" s="11" t="str">
        <x:v>source_verified</x:v>
      </x:c>
      <x:c r="Q32" s="11" t="str"/>
      <x:c r="R32" s="11" t="str"/>
    </x:row>
    <x:row r="33" ht="48" customHeight="1">
      <x:c r="A33" s="8" t="str">
        <x:v>act_body_manual_very_high.01</x:v>
      </x:c>
      <x:c r="B33" s="8" t="str">
        <x:v>act_body_manual_very_high</x:v>
      </x:c>
      <x:c r="C33" s="8" t="n">
        <x:v>1</x:v>
      </x:c>
      <x:c r="D33" s="8" t="str">
        <x:v>recommendation</x:v>
      </x:c>
      <x:c r="E33" s="11" t="str">
        <x:v>posture</x:v>
      </x:c>
      <x:c r="F33" s="11" t="str">
        <x:v>any</x:v>
      </x:c>
      <x:c r="G33" s="11" t="str">
        <x:v>manual</x:v>
      </x:c>
      <x:c r="H33" s="11" t="str">
        <x:v>very_high</x:v>
      </x:c>
      <x:c r="I33" s="11" t="str">
        <x:v>body_part_risk_matches</x:v>
      </x:c>
      <x:c r="J33" s="11" t="str">
        <x:v>ใช้รถเข็น รถลาก หรืออุปกรณ์ช่วยยก</x:v>
      </x:c>
      <x:c r="K33" s="8" t="str">
        <x:v>body_map_recommendations</x:v>
      </x:c>
      <x:c r="L33" s="8" t="str">
        <x:v>8</x:v>
      </x:c>
      <x:c r="M33" s="11" t="str">
        <x:v>act_body_manual_very_high</x:v>
      </x:c>
      <x:c r="N33" s="11" t="n">
        <x:v>1</x:v>
      </x:c>
      <x:c r="O33" s="11" t="str">
        <x:v>2026-07-29.1</x:v>
      </x:c>
      <x:c r="P33" s="11" t="str">
        <x:v>source_verified</x:v>
      </x:c>
      <x:c r="Q33" s="11" t="str">
        <x:v>ใช้รถเข็น รถลาก หรืออุปกรณ์ช่วยยก หลีกเลี่ยงการยกเกิน 20 กก. คนเดียว ถ้าหนัก 20-25 กก. ให้ช่วยกันยก และถ้าเกิน 25 กก. ให้ใช้อุปกรณ์ช่วย</x:v>
      </x:c>
      <x:c r="R33" s="11" t="str">
        <x:v>Use a cart, trolley, or lifting aid; avoid lifting more than 20 kg alone, team-lift 20-25 kg loads, and use lifting equipment above 25 kg.</x:v>
      </x:c>
    </x:row>
    <x:row r="34" ht="48" customHeight="1">
      <x:c r="A34" s="8" t="str">
        <x:v>act_body_manual_very_high.02</x:v>
      </x:c>
      <x:c r="B34" s="8" t="str">
        <x:v>act_body_manual_very_high</x:v>
      </x:c>
      <x:c r="C34" s="8" t="n">
        <x:v>2</x:v>
      </x:c>
      <x:c r="D34" s="8" t="str">
        <x:v>recommendation</x:v>
      </x:c>
      <x:c r="E34" s="11" t="str">
        <x:v>posture</x:v>
      </x:c>
      <x:c r="F34" s="11" t="str">
        <x:v>any</x:v>
      </x:c>
      <x:c r="G34" s="11" t="str">
        <x:v>manual</x:v>
      </x:c>
      <x:c r="H34" s="11" t="str">
        <x:v>very_high</x:v>
      </x:c>
      <x:c r="I34" s="11" t="str">
        <x:v>body_part_risk_matches</x:v>
      </x:c>
      <x:c r="J34" s="11" t="str">
        <x:v>หลีกเลี่ยงการยกเกิน 20 กก. คนเดียว</x:v>
      </x:c>
      <x:c r="K34" s="8" t="str">
        <x:v>body_map_recommendations</x:v>
      </x:c>
      <x:c r="L34" s="8" t="str">
        <x:v>8</x:v>
      </x:c>
      <x:c r="M34" s="11" t="str">
        <x:v>act_body_manual_very_high</x:v>
      </x:c>
      <x:c r="N34" s="11" t="n">
        <x:v>1</x:v>
      </x:c>
      <x:c r="O34" s="11" t="str">
        <x:v>2026-07-29.1</x:v>
      </x:c>
      <x:c r="P34" s="11" t="str">
        <x:v>source_verified</x:v>
      </x:c>
      <x:c r="Q34" s="11" t="str"/>
      <x:c r="R34" s="11" t="str"/>
    </x:row>
    <x:row r="35" ht="48" customHeight="1">
      <x:c r="A35" s="8" t="str">
        <x:v>act_body_manual_very_high.03</x:v>
      </x:c>
      <x:c r="B35" s="8" t="str">
        <x:v>act_body_manual_very_high</x:v>
      </x:c>
      <x:c r="C35" s="8" t="n">
        <x:v>3</x:v>
      </x:c>
      <x:c r="D35" s="8" t="str">
        <x:v>recommendation</x:v>
      </x:c>
      <x:c r="E35" s="11" t="str">
        <x:v>posture</x:v>
      </x:c>
      <x:c r="F35" s="11" t="str">
        <x:v>any</x:v>
      </x:c>
      <x:c r="G35" s="11" t="str">
        <x:v>manual</x:v>
      </x:c>
      <x:c r="H35" s="11" t="str">
        <x:v>very_high</x:v>
      </x:c>
      <x:c r="I35" s="11" t="str">
        <x:v>body_part_risk_matches</x:v>
      </x:c>
      <x:c r="J35" s="11" t="str">
        <x:v>ถ้าหนัก 20-25 กก. ให้ช่วยกันยก</x:v>
      </x:c>
      <x:c r="K35" s="8" t="str">
        <x:v>body_map_recommendations</x:v>
      </x:c>
      <x:c r="L35" s="8" t="str">
        <x:v>8</x:v>
      </x:c>
      <x:c r="M35" s="11" t="str">
        <x:v>act_body_manual_very_high</x:v>
      </x:c>
      <x:c r="N35" s="11" t="n">
        <x:v>1</x:v>
      </x:c>
      <x:c r="O35" s="11" t="str">
        <x:v>2026-07-29.1</x:v>
      </x:c>
      <x:c r="P35" s="11" t="str">
        <x:v>source_verified</x:v>
      </x:c>
      <x:c r="Q35" s="11" t="str"/>
      <x:c r="R35" s="11" t="str"/>
    </x:row>
    <x:row r="36" ht="48" customHeight="1">
      <x:c r="A36" s="8" t="str">
        <x:v>act_body_manual_very_high.04</x:v>
      </x:c>
      <x:c r="B36" s="8" t="str">
        <x:v>act_body_manual_very_high</x:v>
      </x:c>
      <x:c r="C36" s="8" t="n">
        <x:v>4</x:v>
      </x:c>
      <x:c r="D36" s="8" t="str">
        <x:v>recommendation</x:v>
      </x:c>
      <x:c r="E36" s="11" t="str">
        <x:v>posture</x:v>
      </x:c>
      <x:c r="F36" s="11" t="str">
        <x:v>any</x:v>
      </x:c>
      <x:c r="G36" s="11" t="str">
        <x:v>manual</x:v>
      </x:c>
      <x:c r="H36" s="11" t="str">
        <x:v>very_high</x:v>
      </x:c>
      <x:c r="I36" s="11" t="str">
        <x:v>body_part_risk_matches</x:v>
      </x:c>
      <x:c r="J36" s="11" t="str">
        <x:v>ถ้าเกิน 25 กก. ให้ใช้อุปกรณ์ช่วย</x:v>
      </x:c>
      <x:c r="K36" s="8" t="str">
        <x:v>body_map_recommendations</x:v>
      </x:c>
      <x:c r="L36" s="8" t="str">
        <x:v>8</x:v>
      </x:c>
      <x:c r="M36" s="11" t="str">
        <x:v>act_body_manual_very_high</x:v>
      </x:c>
      <x:c r="N36" s="11" t="n">
        <x:v>1</x:v>
      </x:c>
      <x:c r="O36" s="11" t="str">
        <x:v>2026-07-29.1</x:v>
      </x:c>
      <x:c r="P36" s="11" t="str">
        <x:v>source_verified</x:v>
      </x:c>
      <x:c r="Q36" s="11" t="str"/>
      <x:c r="R36" s="11" t="str"/>
    </x:row>
    <x:row r="37" ht="48" customHeight="1">
      <x:c r="A37" s="8" t="str">
        <x:v>act_body_neck_high.01</x:v>
      </x:c>
      <x:c r="B37" s="8" t="str">
        <x:v>act_body_neck_high</x:v>
      </x:c>
      <x:c r="C37" s="8" t="n">
        <x:v>1</x:v>
      </x:c>
      <x:c r="D37" s="8" t="str">
        <x:v>recommendation</x:v>
      </x:c>
      <x:c r="E37" s="11" t="str">
        <x:v>posture</x:v>
      </x:c>
      <x:c r="F37" s="11" t="str">
        <x:v>any</x:v>
      </x:c>
      <x:c r="G37" s="11" t="str">
        <x:v>neck</x:v>
      </x:c>
      <x:c r="H37" s="11" t="str">
        <x:v>high</x:v>
      </x:c>
      <x:c r="I37" s="11" t="str">
        <x:v>body_part_risk_matches</x:v>
      </x:c>
      <x:c r="J37" s="11" t="str">
        <x:v>ปรับพื้นที่ทำงานให้สูงขึ้น ยืดเหยียดคอทุก 15-20 นาที</x:v>
      </x:c>
      <x:c r="K37" s="8" t="str">
        <x:v>body_map_recommendations</x:v>
      </x:c>
      <x:c r="L37" s="8" t="str">
        <x:v>2</x:v>
      </x:c>
      <x:c r="M37" s="11" t="str">
        <x:v>act_body_neck_high</x:v>
      </x:c>
      <x:c r="N37" s="11" t="n">
        <x:v>1</x:v>
      </x:c>
      <x:c r="O37" s="11" t="str">
        <x:v>2026-07-29.1</x:v>
      </x:c>
      <x:c r="P37" s="11" t="str">
        <x:v>source_verified</x:v>
      </x:c>
      <x:c r="Q37" s="11" t="str">
        <x:v>ปรับพื้นที่ทำงานให้สูงขึ้น ยืดเหยียดคอทุก 15-20 นาที ใช้อุปกรณ์ช่วยหยิบจับ และหลีกเลี่ยงการบิดหรือเอียงคอ</x:v>
      </x:c>
      <x:c r="R37" s="11" t="str">
        <x:v>Raise the work area, stretch the neck every 15-20 minutes, use reach tools, and avoid twisting or tilting the neck.</x:v>
      </x:c>
    </x:row>
    <x:row r="38" ht="48" customHeight="1">
      <x:c r="A38" s="8" t="str">
        <x:v>act_body_neck_high.02</x:v>
      </x:c>
      <x:c r="B38" s="8" t="str">
        <x:v>act_body_neck_high</x:v>
      </x:c>
      <x:c r="C38" s="8" t="n">
        <x:v>2</x:v>
      </x:c>
      <x:c r="D38" s="8" t="str">
        <x:v>recommendation</x:v>
      </x:c>
      <x:c r="E38" s="11" t="str">
        <x:v>posture</x:v>
      </x:c>
      <x:c r="F38" s="11" t="str">
        <x:v>any</x:v>
      </x:c>
      <x:c r="G38" s="11" t="str">
        <x:v>neck</x:v>
      </x:c>
      <x:c r="H38" s="11" t="str">
        <x:v>high</x:v>
      </x:c>
      <x:c r="I38" s="11" t="str">
        <x:v>body_part_risk_matches</x:v>
      </x:c>
      <x:c r="J38" s="11" t="str">
        <x:v>ใช้อุปกรณ์ช่วยหยิบจับ</x:v>
      </x:c>
      <x:c r="K38" s="8" t="str">
        <x:v>body_map_recommendations</x:v>
      </x:c>
      <x:c r="L38" s="8" t="str">
        <x:v>2</x:v>
      </x:c>
      <x:c r="M38" s="11" t="str">
        <x:v>act_body_neck_high</x:v>
      </x:c>
      <x:c r="N38" s="11" t="n">
        <x:v>1</x:v>
      </x:c>
      <x:c r="O38" s="11" t="str">
        <x:v>2026-07-29.1</x:v>
      </x:c>
      <x:c r="P38" s="11" t="str">
        <x:v>source_verified</x:v>
      </x:c>
      <x:c r="Q38" s="11" t="str"/>
      <x:c r="R38" s="11" t="str"/>
    </x:row>
    <x:row r="39" ht="48" customHeight="1">
      <x:c r="A39" s="8" t="str">
        <x:v>act_body_neck_high.03</x:v>
      </x:c>
      <x:c r="B39" s="8" t="str">
        <x:v>act_body_neck_high</x:v>
      </x:c>
      <x:c r="C39" s="8" t="n">
        <x:v>3</x:v>
      </x:c>
      <x:c r="D39" s="8" t="str">
        <x:v>recommendation</x:v>
      </x:c>
      <x:c r="E39" s="11" t="str">
        <x:v>posture</x:v>
      </x:c>
      <x:c r="F39" s="11" t="str">
        <x:v>any</x:v>
      </x:c>
      <x:c r="G39" s="11" t="str">
        <x:v>neck</x:v>
      </x:c>
      <x:c r="H39" s="11" t="str">
        <x:v>high</x:v>
      </x:c>
      <x:c r="I39" s="11" t="str">
        <x:v>body_part_risk_matches</x:v>
      </x:c>
      <x:c r="J39" s="11" t="str">
        <x:v>หลีกเลี่ยงการบิดหรือเอียงคอ</x:v>
      </x:c>
      <x:c r="K39" s="8" t="str">
        <x:v>body_map_recommendations</x:v>
      </x:c>
      <x:c r="L39" s="8" t="str">
        <x:v>2</x:v>
      </x:c>
      <x:c r="M39" s="11" t="str">
        <x:v>act_body_neck_high</x:v>
      </x:c>
      <x:c r="N39" s="11" t="n">
        <x:v>1</x:v>
      </x:c>
      <x:c r="O39" s="11" t="str">
        <x:v>2026-07-29.1</x:v>
      </x:c>
      <x:c r="P39" s="11" t="str">
        <x:v>source_verified</x:v>
      </x:c>
      <x:c r="Q39" s="11" t="str"/>
      <x:c r="R39" s="11" t="str"/>
    </x:row>
    <x:row r="40" ht="48" customHeight="1">
      <x:c r="A40" s="8" t="str">
        <x:v>act_body_neck_medium.01</x:v>
      </x:c>
      <x:c r="B40" s="8" t="str">
        <x:v>act_body_neck_medium</x:v>
      </x:c>
      <x:c r="C40" s="8" t="n">
        <x:v>1</x:v>
      </x:c>
      <x:c r="D40" s="8" t="str">
        <x:v>recommendation</x:v>
      </x:c>
      <x:c r="E40" s="11" t="str">
        <x:v>posture</x:v>
      </x:c>
      <x:c r="F40" s="11" t="str">
        <x:v>any</x:v>
      </x:c>
      <x:c r="G40" s="11" t="str">
        <x:v>neck</x:v>
      </x:c>
      <x:c r="H40" s="11" t="str">
        <x:v>medium</x:v>
      </x:c>
      <x:c r="I40" s="11" t="str">
        <x:v>body_part_risk_matches</x:v>
      </x:c>
      <x:c r="J40" s="11" t="str">
        <x:v>ยกถาดหรือวัสดุให้อยู่ระดับเอว</x:v>
      </x:c>
      <x:c r="K40" s="8" t="str">
        <x:v>body_map_recommendations</x:v>
      </x:c>
      <x:c r="L40" s="8" t="str">
        <x:v>1</x:v>
      </x:c>
      <x:c r="M40" s="11" t="str">
        <x:v>act_body_neck_medium</x:v>
      </x:c>
      <x:c r="N40" s="11" t="n">
        <x:v>1</x:v>
      </x:c>
      <x:c r="O40" s="11" t="str">
        <x:v>2026-07-29.1</x:v>
      </x:c>
      <x:c r="P40" s="11" t="str">
        <x:v>source_verified</x:v>
      </x:c>
      <x:c r="Q40" s="11" t="str">
        <x:v>ยกถาดหรือวัสดุให้อยู่ระดับเอว เปลี่ยนท่าคอทุก 30 นาที และหลีกเลี่ยงการก้มมองพื้นต่อเนื่อง</x:v>
      </x:c>
      <x:c r="R40" s="11" t="str">
        <x:v>Raise trays or materials to waist height, change neck posture every 30 minutes, and avoid looking down continuously.</x:v>
      </x:c>
    </x:row>
    <x:row r="41" ht="48" customHeight="1">
      <x:c r="A41" s="8" t="str">
        <x:v>act_body_neck_medium.02</x:v>
      </x:c>
      <x:c r="B41" s="8" t="str">
        <x:v>act_body_neck_medium</x:v>
      </x:c>
      <x:c r="C41" s="8" t="n">
        <x:v>2</x:v>
      </x:c>
      <x:c r="D41" s="8" t="str">
        <x:v>recommendation</x:v>
      </x:c>
      <x:c r="E41" s="11" t="str">
        <x:v>posture</x:v>
      </x:c>
      <x:c r="F41" s="11" t="str">
        <x:v>any</x:v>
      </x:c>
      <x:c r="G41" s="11" t="str">
        <x:v>neck</x:v>
      </x:c>
      <x:c r="H41" s="11" t="str">
        <x:v>medium</x:v>
      </x:c>
      <x:c r="I41" s="11" t="str">
        <x:v>body_part_risk_matches</x:v>
      </x:c>
      <x:c r="J41" s="11" t="str">
        <x:v>เปลี่ยนท่าคอทุก 30 นาที</x:v>
      </x:c>
      <x:c r="K41" s="8" t="str">
        <x:v>body_map_recommendations</x:v>
      </x:c>
      <x:c r="L41" s="8" t="str">
        <x:v>1</x:v>
      </x:c>
      <x:c r="M41" s="11" t="str">
        <x:v>act_body_neck_medium</x:v>
      </x:c>
      <x:c r="N41" s="11" t="n">
        <x:v>1</x:v>
      </x:c>
      <x:c r="O41" s="11" t="str">
        <x:v>2026-07-29.1</x:v>
      </x:c>
      <x:c r="P41" s="11" t="str">
        <x:v>source_verified</x:v>
      </x:c>
      <x:c r="Q41" s="11" t="str"/>
      <x:c r="R41" s="11" t="str"/>
    </x:row>
    <x:row r="42" ht="48" customHeight="1">
      <x:c r="A42" s="8" t="str">
        <x:v>act_body_neck_medium.03</x:v>
      </x:c>
      <x:c r="B42" s="8" t="str">
        <x:v>act_body_neck_medium</x:v>
      </x:c>
      <x:c r="C42" s="8" t="n">
        <x:v>3</x:v>
      </x:c>
      <x:c r="D42" s="8" t="str">
        <x:v>recommendation</x:v>
      </x:c>
      <x:c r="E42" s="11" t="str">
        <x:v>posture</x:v>
      </x:c>
      <x:c r="F42" s="11" t="str">
        <x:v>any</x:v>
      </x:c>
      <x:c r="G42" s="11" t="str">
        <x:v>neck</x:v>
      </x:c>
      <x:c r="H42" s="11" t="str">
        <x:v>medium</x:v>
      </x:c>
      <x:c r="I42" s="11" t="str">
        <x:v>body_part_risk_matches</x:v>
      </x:c>
      <x:c r="J42" s="11" t="str">
        <x:v>หลีกเลี่ยงการก้มมองพื้นต่อเนื่อง</x:v>
      </x:c>
      <x:c r="K42" s="8" t="str">
        <x:v>body_map_recommendations</x:v>
      </x:c>
      <x:c r="L42" s="8" t="str">
        <x:v>1</x:v>
      </x:c>
      <x:c r="M42" s="11" t="str">
        <x:v>act_body_neck_medium</x:v>
      </x:c>
      <x:c r="N42" s="11" t="n">
        <x:v>1</x:v>
      </x:c>
      <x:c r="O42" s="11" t="str">
        <x:v>2026-07-29.1</x:v>
      </x:c>
      <x:c r="P42" s="11" t="str">
        <x:v>source_verified</x:v>
      </x:c>
      <x:c r="Q42" s="11" t="str"/>
      <x:c r="R42" s="11" t="str"/>
    </x:row>
    <x:row r="43" ht="48" customHeight="1">
      <x:c r="A43" s="8" t="str">
        <x:v>act_body_neck_very_high.01</x:v>
      </x:c>
      <x:c r="B43" s="8" t="str">
        <x:v>act_body_neck_very_high</x:v>
      </x:c>
      <x:c r="C43" s="8" t="n">
        <x:v>1</x:v>
      </x:c>
      <x:c r="D43" s="8" t="str">
        <x:v>recommendation</x:v>
      </x:c>
      <x:c r="E43" s="11" t="str">
        <x:v>posture</x:v>
      </x:c>
      <x:c r="F43" s="11" t="str">
        <x:v>any</x:v>
      </x:c>
      <x:c r="G43" s="11" t="str">
        <x:v>neck</x:v>
      </x:c>
      <x:c r="H43" s="11" t="str">
        <x:v>very_high</x:v>
      </x:c>
      <x:c r="I43" s="11" t="str">
        <x:v>body_part_risk_matches</x:v>
      </x:c>
      <x:c r="J43" s="11" t="str">
        <x:v>ปรับวิธีทำงานทันที</x:v>
      </x:c>
      <x:c r="K43" s="8" t="str">
        <x:v>body_map_recommendations</x:v>
      </x:c>
      <x:c r="L43" s="8" t="str">
        <x:v>2</x:v>
      </x:c>
      <x:c r="M43" s="11" t="str">
        <x:v>act_body_neck_very_high</x:v>
      </x:c>
      <x:c r="N43" s="11" t="n">
        <x:v>1</x:v>
      </x:c>
      <x:c r="O43" s="11" t="str">
        <x:v>2026-07-29.1</x:v>
      </x:c>
      <x:c r="P43" s="11" t="str">
        <x:v>source_verified</x:v>
      </x:c>
      <x:c r="Q43" s="11" t="str">
        <x:v>ปรับวิธีทำงานทันที ยกวัสดุขึ้นระดับเอว ใช้เครื่องมือด้ามยาว และเปลี่ยนอิริยาบถทุก 10-15 นาที</x:v>
      </x:c>
      <x:c r="R43" s="11" t="str">
        <x:v>Change the work method immediately: lift materials to waist level, use long-handled tools, and change posture every 10-15 minutes.</x:v>
      </x:c>
    </x:row>
    <x:row r="44" ht="48" customHeight="1">
      <x:c r="A44" s="8" t="str">
        <x:v>act_body_neck_very_high.02</x:v>
      </x:c>
      <x:c r="B44" s="8" t="str">
        <x:v>act_body_neck_very_high</x:v>
      </x:c>
      <x:c r="C44" s="8" t="n">
        <x:v>2</x:v>
      </x:c>
      <x:c r="D44" s="8" t="str">
        <x:v>recommendation</x:v>
      </x:c>
      <x:c r="E44" s="11" t="str">
        <x:v>posture</x:v>
      </x:c>
      <x:c r="F44" s="11" t="str">
        <x:v>any</x:v>
      </x:c>
      <x:c r="G44" s="11" t="str">
        <x:v>neck</x:v>
      </x:c>
      <x:c r="H44" s="11" t="str">
        <x:v>very_high</x:v>
      </x:c>
      <x:c r="I44" s="11" t="str">
        <x:v>body_part_risk_matches</x:v>
      </x:c>
      <x:c r="J44" s="11" t="str">
        <x:v>ยกวัสดุขึ้นระดับเอว</x:v>
      </x:c>
      <x:c r="K44" s="8" t="str">
        <x:v>body_map_recommendations</x:v>
      </x:c>
      <x:c r="L44" s="8" t="str">
        <x:v>2</x:v>
      </x:c>
      <x:c r="M44" s="11" t="str">
        <x:v>act_body_neck_very_high</x:v>
      </x:c>
      <x:c r="N44" s="11" t="n">
        <x:v>1</x:v>
      </x:c>
      <x:c r="O44" s="11" t="str">
        <x:v>2026-07-29.1</x:v>
      </x:c>
      <x:c r="P44" s="11" t="str">
        <x:v>source_verified</x:v>
      </x:c>
      <x:c r="Q44" s="11" t="str"/>
      <x:c r="R44" s="11" t="str"/>
    </x:row>
    <x:row r="45" ht="48" customHeight="1">
      <x:c r="A45" s="8" t="str">
        <x:v>act_body_neck_very_high.03</x:v>
      </x:c>
      <x:c r="B45" s="8" t="str">
        <x:v>act_body_neck_very_high</x:v>
      </x:c>
      <x:c r="C45" s="8" t="n">
        <x:v>3</x:v>
      </x:c>
      <x:c r="D45" s="8" t="str">
        <x:v>recommendation</x:v>
      </x:c>
      <x:c r="E45" s="11" t="str">
        <x:v>posture</x:v>
      </x:c>
      <x:c r="F45" s="11" t="str">
        <x:v>any</x:v>
      </x:c>
      <x:c r="G45" s="11" t="str">
        <x:v>neck</x:v>
      </x:c>
      <x:c r="H45" s="11" t="str">
        <x:v>very_high</x:v>
      </x:c>
      <x:c r="I45" s="11" t="str">
        <x:v>body_part_risk_matches</x:v>
      </x:c>
      <x:c r="J45" s="11" t="str">
        <x:v>ใช้เครื่องมือด้ามยาว</x:v>
      </x:c>
      <x:c r="K45" s="8" t="str">
        <x:v>body_map_recommendations</x:v>
      </x:c>
      <x:c r="L45" s="8" t="str">
        <x:v>2</x:v>
      </x:c>
      <x:c r="M45" s="11" t="str">
        <x:v>act_body_neck_very_high</x:v>
      </x:c>
      <x:c r="N45" s="11" t="n">
        <x:v>1</x:v>
      </x:c>
      <x:c r="O45" s="11" t="str">
        <x:v>2026-07-29.1</x:v>
      </x:c>
      <x:c r="P45" s="11" t="str">
        <x:v>source_verified</x:v>
      </x:c>
      <x:c r="Q45" s="11" t="str"/>
      <x:c r="R45" s="11" t="str"/>
    </x:row>
    <x:row r="46" ht="48" customHeight="1">
      <x:c r="A46" s="8" t="str">
        <x:v>act_body_neck_very_high.04</x:v>
      </x:c>
      <x:c r="B46" s="8" t="str">
        <x:v>act_body_neck_very_high</x:v>
      </x:c>
      <x:c r="C46" s="8" t="n">
        <x:v>4</x:v>
      </x:c>
      <x:c r="D46" s="8" t="str">
        <x:v>recommendation</x:v>
      </x:c>
      <x:c r="E46" s="11" t="str">
        <x:v>posture</x:v>
      </x:c>
      <x:c r="F46" s="11" t="str">
        <x:v>any</x:v>
      </x:c>
      <x:c r="G46" s="11" t="str">
        <x:v>neck</x:v>
      </x:c>
      <x:c r="H46" s="11" t="str">
        <x:v>very_high</x:v>
      </x:c>
      <x:c r="I46" s="11" t="str">
        <x:v>body_part_risk_matches</x:v>
      </x:c>
      <x:c r="J46" s="11" t="str">
        <x:v>เปลี่ยนอิริยาบถทุก 10-15 นาที</x:v>
      </x:c>
      <x:c r="K46" s="8" t="str">
        <x:v>body_map_recommendations</x:v>
      </x:c>
      <x:c r="L46" s="8" t="str">
        <x:v>2</x:v>
      </x:c>
      <x:c r="M46" s="11" t="str">
        <x:v>act_body_neck_very_high</x:v>
      </x:c>
      <x:c r="N46" s="11" t="n">
        <x:v>1</x:v>
      </x:c>
      <x:c r="O46" s="11" t="str">
        <x:v>2026-07-29.1</x:v>
      </x:c>
      <x:c r="P46" s="11" t="str">
        <x:v>source_verified</x:v>
      </x:c>
      <x:c r="Q46" s="11" t="str"/>
      <x:c r="R46" s="11" t="str"/>
    </x:row>
    <x:row r="47" ht="48" customHeight="1">
      <x:c r="A47" s="8" t="str">
        <x:v>act_body_trunk_high.01</x:v>
      </x:c>
      <x:c r="B47" s="8" t="str">
        <x:v>act_body_trunk_high</x:v>
      </x:c>
      <x:c r="C47" s="8" t="n">
        <x:v>1</x:v>
      </x:c>
      <x:c r="D47" s="8" t="str">
        <x:v>recommendation</x:v>
      </x:c>
      <x:c r="E47" s="11" t="str">
        <x:v>posture</x:v>
      </x:c>
      <x:c r="F47" s="11" t="str">
        <x:v>any</x:v>
      </x:c>
      <x:c r="G47" s="11" t="str">
        <x:v>trunk</x:v>
      </x:c>
      <x:c r="H47" s="11" t="str">
        <x:v>high</x:v>
      </x:c>
      <x:c r="I47" s="11" t="str">
        <x:v>body_part_risk_matches</x:v>
      </x:c>
      <x:c r="J47" s="11" t="str">
        <x:v>หลีกเลี่ยงการก้มต่อเนื่องเกิน 10-15 นาที ยืดเหยียดทุก 15 นาที</x:v>
      </x:c>
      <x:c r="K47" s="8" t="str">
        <x:v>body_map_recommendations</x:v>
      </x:c>
      <x:c r="L47" s="8" t="str">
        <x:v>3</x:v>
      </x:c>
      <x:c r="M47" s="11" t="str">
        <x:v>act_body_trunk_high</x:v>
      </x:c>
      <x:c r="N47" s="11" t="n">
        <x:v>1</x:v>
      </x:c>
      <x:c r="O47" s="11" t="str">
        <x:v>2026-07-29.1</x:v>
      </x:c>
      <x:c r="P47" s="11" t="str">
        <x:v>source_verified</x:v>
      </x:c>
      <x:c r="Q47" s="11" t="str">
        <x:v>หลีกเลี่ยงการก้มต่อเนื่องเกิน 10-15 นาที ยืดเหยียดทุก 15 นาที หันหน้าเข้าหาวัสดุก่อนยก และหมุนเท้าแทนการบิดเอว</x:v>
      </x:c>
      <x:c r="R47" s="11" t="str">
        <x:v>Avoid bending for more than 10-15 minutes, stretch every 15 minutes, face the load before lifting, and turn with the feet instead of twisting the waist.</x:v>
      </x:c>
    </x:row>
    <x:row r="48" ht="48" customHeight="1">
      <x:c r="A48" s="8" t="str">
        <x:v>act_body_trunk_high.02</x:v>
      </x:c>
      <x:c r="B48" s="8" t="str">
        <x:v>act_body_trunk_high</x:v>
      </x:c>
      <x:c r="C48" s="8" t="n">
        <x:v>2</x:v>
      </x:c>
      <x:c r="D48" s="8" t="str">
        <x:v>recommendation</x:v>
      </x:c>
      <x:c r="E48" s="11" t="str">
        <x:v>posture</x:v>
      </x:c>
      <x:c r="F48" s="11" t="str">
        <x:v>any</x:v>
      </x:c>
      <x:c r="G48" s="11" t="str">
        <x:v>trunk</x:v>
      </x:c>
      <x:c r="H48" s="11" t="str">
        <x:v>high</x:v>
      </x:c>
      <x:c r="I48" s="11" t="str">
        <x:v>body_part_risk_matches</x:v>
      </x:c>
      <x:c r="J48" s="11" t="str">
        <x:v>หันหน้าเข้าหาวัสดุก่อนยก</x:v>
      </x:c>
      <x:c r="K48" s="8" t="str">
        <x:v>body_map_recommendations</x:v>
      </x:c>
      <x:c r="L48" s="8" t="str">
        <x:v>3</x:v>
      </x:c>
      <x:c r="M48" s="11" t="str">
        <x:v>act_body_trunk_high</x:v>
      </x:c>
      <x:c r="N48" s="11" t="n">
        <x:v>1</x:v>
      </x:c>
      <x:c r="O48" s="11" t="str">
        <x:v>2026-07-29.1</x:v>
      </x:c>
      <x:c r="P48" s="11" t="str">
        <x:v>source_verified</x:v>
      </x:c>
      <x:c r="Q48" s="11" t="str"/>
      <x:c r="R48" s="11" t="str"/>
    </x:row>
    <x:row r="49" ht="48" customHeight="1">
      <x:c r="A49" s="8" t="str">
        <x:v>act_body_trunk_high.03</x:v>
      </x:c>
      <x:c r="B49" s="8" t="str">
        <x:v>act_body_trunk_high</x:v>
      </x:c>
      <x:c r="C49" s="8" t="n">
        <x:v>3</x:v>
      </x:c>
      <x:c r="D49" s="8" t="str">
        <x:v>recommendation</x:v>
      </x:c>
      <x:c r="E49" s="11" t="str">
        <x:v>posture</x:v>
      </x:c>
      <x:c r="F49" s="11" t="str">
        <x:v>any</x:v>
      </x:c>
      <x:c r="G49" s="11" t="str">
        <x:v>trunk</x:v>
      </x:c>
      <x:c r="H49" s="11" t="str">
        <x:v>high</x:v>
      </x:c>
      <x:c r="I49" s="11" t="str">
        <x:v>body_part_risk_matches</x:v>
      </x:c>
      <x:c r="J49" s="11" t="str">
        <x:v>หมุนเท้าแทนการบิดเอว</x:v>
      </x:c>
      <x:c r="K49" s="8" t="str">
        <x:v>body_map_recommendations</x:v>
      </x:c>
      <x:c r="L49" s="8" t="str">
        <x:v>3</x:v>
      </x:c>
      <x:c r="M49" s="11" t="str">
        <x:v>act_body_trunk_high</x:v>
      </x:c>
      <x:c r="N49" s="11" t="n">
        <x:v>1</x:v>
      </x:c>
      <x:c r="O49" s="11" t="str">
        <x:v>2026-07-29.1</x:v>
      </x:c>
      <x:c r="P49" s="11" t="str">
        <x:v>source_verified</x:v>
      </x:c>
      <x:c r="Q49" s="11" t="str"/>
      <x:c r="R49" s="11" t="str"/>
    </x:row>
    <x:row r="50" ht="48" customHeight="1">
      <x:c r="A50" s="8" t="str">
        <x:v>act_body_trunk_medium.01</x:v>
      </x:c>
      <x:c r="B50" s="8" t="str">
        <x:v>act_body_trunk_medium</x:v>
      </x:c>
      <x:c r="C50" s="8" t="n">
        <x:v>1</x:v>
      </x:c>
      <x:c r="D50" s="8" t="str">
        <x:v>recommendation</x:v>
      </x:c>
      <x:c r="E50" s="11" t="str">
        <x:v>posture</x:v>
      </x:c>
      <x:c r="F50" s="11" t="str">
        <x:v>any</x:v>
      </x:c>
      <x:c r="G50" s="11" t="str">
        <x:v>trunk</x:v>
      </x:c>
      <x:c r="H50" s="11" t="str">
        <x:v>medium</x:v>
      </x:c>
      <x:c r="I50" s="11" t="str">
        <x:v>body_part_risk_matches</x:v>
      </x:c>
      <x:c r="J50" s="11" t="str">
        <x:v>วางวัสดุให้อยู่ใกล้ตัวไม่เกิน 40 ซม.</x:v>
      </x:c>
      <x:c r="K50" s="8" t="str">
        <x:v>body_map_recommendations</x:v>
      </x:c>
      <x:c r="L50" s="8" t="str">
        <x:v>3</x:v>
      </x:c>
      <x:c r="M50" s="11" t="str">
        <x:v>act_body_trunk_medium</x:v>
      </x:c>
      <x:c r="N50" s="11" t="n">
        <x:v>1</x:v>
      </x:c>
      <x:c r="O50" s="11" t="str">
        <x:v>2026-07-29.1</x:v>
      </x:c>
      <x:c r="P50" s="11" t="str">
        <x:v>source_verified</x:v>
      </x:c>
      <x:c r="Q50" s="11" t="str">
        <x:v>วางวัสดุให้อยู่ใกล้ตัวไม่เกิน 40 ซม. ยกงานจากพื้น 50-70 ซม. และลุกเปลี่ยนท่าทุก 20-30 นาที</x:v>
      </x:c>
      <x:c r="R50" s="11" t="str">
        <x:v>Keep materials within 40 cm, raise work from the ground by 50-70 cm, and stand up to change posture every 20-30 minutes.</x:v>
      </x:c>
    </x:row>
    <x:row r="51" ht="48" customHeight="1">
      <x:c r="A51" s="8" t="str">
        <x:v>act_body_trunk_medium.02</x:v>
      </x:c>
      <x:c r="B51" s="8" t="str">
        <x:v>act_body_trunk_medium</x:v>
      </x:c>
      <x:c r="C51" s="8" t="n">
        <x:v>2</x:v>
      </x:c>
      <x:c r="D51" s="8" t="str">
        <x:v>recommendation</x:v>
      </x:c>
      <x:c r="E51" s="11" t="str">
        <x:v>posture</x:v>
      </x:c>
      <x:c r="F51" s="11" t="str">
        <x:v>any</x:v>
      </x:c>
      <x:c r="G51" s="11" t="str">
        <x:v>trunk</x:v>
      </x:c>
      <x:c r="H51" s="11" t="str">
        <x:v>medium</x:v>
      </x:c>
      <x:c r="I51" s="11" t="str">
        <x:v>body_part_risk_matches</x:v>
      </x:c>
      <x:c r="J51" s="11" t="str">
        <x:v>ยกงานจากพื้น 50-70 ซม.</x:v>
      </x:c>
      <x:c r="K51" s="8" t="str">
        <x:v>body_map_recommendations</x:v>
      </x:c>
      <x:c r="L51" s="8" t="str">
        <x:v>3</x:v>
      </x:c>
      <x:c r="M51" s="11" t="str">
        <x:v>act_body_trunk_medium</x:v>
      </x:c>
      <x:c r="N51" s="11" t="n">
        <x:v>1</x:v>
      </x:c>
      <x:c r="O51" s="11" t="str">
        <x:v>2026-07-29.1</x:v>
      </x:c>
      <x:c r="P51" s="11" t="str">
        <x:v>source_verified</x:v>
      </x:c>
      <x:c r="Q51" s="11" t="str"/>
      <x:c r="R51" s="11" t="str"/>
    </x:row>
    <x:row r="52" ht="48" customHeight="1">
      <x:c r="A52" s="8" t="str">
        <x:v>act_body_trunk_medium.03</x:v>
      </x:c>
      <x:c r="B52" s="8" t="str">
        <x:v>act_body_trunk_medium</x:v>
      </x:c>
      <x:c r="C52" s="8" t="n">
        <x:v>3</x:v>
      </x:c>
      <x:c r="D52" s="8" t="str">
        <x:v>recommendation</x:v>
      </x:c>
      <x:c r="E52" s="11" t="str">
        <x:v>posture</x:v>
      </x:c>
      <x:c r="F52" s="11" t="str">
        <x:v>any</x:v>
      </x:c>
      <x:c r="G52" s="11" t="str">
        <x:v>trunk</x:v>
      </x:c>
      <x:c r="H52" s="11" t="str">
        <x:v>medium</x:v>
      </x:c>
      <x:c r="I52" s="11" t="str">
        <x:v>body_part_risk_matches</x:v>
      </x:c>
      <x:c r="J52" s="11" t="str">
        <x:v>ลุกเปลี่ยนท่าทุก 20-30 นาที</x:v>
      </x:c>
      <x:c r="K52" s="8" t="str">
        <x:v>body_map_recommendations</x:v>
      </x:c>
      <x:c r="L52" s="8" t="str">
        <x:v>3</x:v>
      </x:c>
      <x:c r="M52" s="11" t="str">
        <x:v>act_body_trunk_medium</x:v>
      </x:c>
      <x:c r="N52" s="11" t="n">
        <x:v>1</x:v>
      </x:c>
      <x:c r="O52" s="11" t="str">
        <x:v>2026-07-29.1</x:v>
      </x:c>
      <x:c r="P52" s="11" t="str">
        <x:v>source_verified</x:v>
      </x:c>
      <x:c r="Q52" s="11" t="str"/>
      <x:c r="R52" s="11" t="str"/>
    </x:row>
    <x:row r="53" ht="48" customHeight="1">
      <x:c r="A53" s="8" t="str">
        <x:v>act_body_trunk_very_high.01</x:v>
      </x:c>
      <x:c r="B53" s="8" t="str">
        <x:v>act_body_trunk_very_high</x:v>
      </x:c>
      <x:c r="C53" s="8" t="n">
        <x:v>1</x:v>
      </x:c>
      <x:c r="D53" s="8" t="str">
        <x:v>recommendation</x:v>
      </x:c>
      <x:c r="E53" s="11" t="str">
        <x:v>posture</x:v>
      </x:c>
      <x:c r="F53" s="11" t="str">
        <x:v>any</x:v>
      </x:c>
      <x:c r="G53" s="11" t="str">
        <x:v>trunk</x:v>
      </x:c>
      <x:c r="H53" s="11" t="str">
        <x:v>very_high</x:v>
      </x:c>
      <x:c r="I53" s="11" t="str">
        <x:v>body_part_risk_matches</x:v>
      </x:c>
      <x:c r="J53" s="11" t="str">
        <x:v>ใช้รถเข็นหรืออุปกรณ์ช่วยยก</x:v>
      </x:c>
      <x:c r="K53" s="8" t="str">
        <x:v>body_map_recommendations</x:v>
      </x:c>
      <x:c r="L53" s="8" t="str">
        <x:v>3-4</x:v>
      </x:c>
      <x:c r="M53" s="11" t="str">
        <x:v>act_body_trunk_very_high</x:v>
      </x:c>
      <x:c r="N53" s="11" t="n">
        <x:v>1</x:v>
      </x:c>
      <x:c r="O53" s="11" t="str">
        <x:v>2026-07-29.1</x:v>
      </x:c>
      <x:c r="P53" s="11" t="str">
        <x:v>source_verified</x:v>
      </x:c>
      <x:c r="Q53" s="11" t="str">
        <x:v>ใช้รถเข็นหรืออุปกรณ์ช่วยยก หลีกเลี่ยงการยกเกิน 20 กก. คนเดียว ปรับงานให้อยู่ระดับเข่าถึงเอว และลดการขนย้ายที่ไม่จำเป็น</x:v>
      </x:c>
      <x:c r="R53" s="11" t="str">
        <x:v>Use carts or lifting aids, avoid lifting more than 20 kg alone, raise the work area to knee-to-waist height, and reduce unnecessary carries.</x:v>
      </x:c>
    </x:row>
    <x:row r="54" ht="48" customHeight="1">
      <x:c r="A54" s="8" t="str">
        <x:v>act_body_trunk_very_high.02</x:v>
      </x:c>
      <x:c r="B54" s="8" t="str">
        <x:v>act_body_trunk_very_high</x:v>
      </x:c>
      <x:c r="C54" s="8" t="n">
        <x:v>2</x:v>
      </x:c>
      <x:c r="D54" s="8" t="str">
        <x:v>recommendation</x:v>
      </x:c>
      <x:c r="E54" s="11" t="str">
        <x:v>posture</x:v>
      </x:c>
      <x:c r="F54" s="11" t="str">
        <x:v>any</x:v>
      </x:c>
      <x:c r="G54" s="11" t="str">
        <x:v>trunk</x:v>
      </x:c>
      <x:c r="H54" s="11" t="str">
        <x:v>very_high</x:v>
      </x:c>
      <x:c r="I54" s="11" t="str">
        <x:v>body_part_risk_matches</x:v>
      </x:c>
      <x:c r="J54" s="11" t="str">
        <x:v>หลีกเลี่ยงการยกเกิน 20 กก. คนเดียว</x:v>
      </x:c>
      <x:c r="K54" s="8" t="str">
        <x:v>body_map_recommendations</x:v>
      </x:c>
      <x:c r="L54" s="8" t="str">
        <x:v>3-4</x:v>
      </x:c>
      <x:c r="M54" s="11" t="str">
        <x:v>act_body_trunk_very_high</x:v>
      </x:c>
      <x:c r="N54" s="11" t="n">
        <x:v>1</x:v>
      </x:c>
      <x:c r="O54" s="11" t="str">
        <x:v>2026-07-29.1</x:v>
      </x:c>
      <x:c r="P54" s="11" t="str">
        <x:v>source_verified</x:v>
      </x:c>
      <x:c r="Q54" s="11" t="str"/>
      <x:c r="R54" s="11" t="str"/>
    </x:row>
    <x:row r="55" ht="48" customHeight="1">
      <x:c r="A55" s="8" t="str">
        <x:v>act_body_trunk_very_high.03</x:v>
      </x:c>
      <x:c r="B55" s="8" t="str">
        <x:v>act_body_trunk_very_high</x:v>
      </x:c>
      <x:c r="C55" s="8" t="n">
        <x:v>3</x:v>
      </x:c>
      <x:c r="D55" s="8" t="str">
        <x:v>recommendation</x:v>
      </x:c>
      <x:c r="E55" s="11" t="str">
        <x:v>posture</x:v>
      </x:c>
      <x:c r="F55" s="11" t="str">
        <x:v>any</x:v>
      </x:c>
      <x:c r="G55" s="11" t="str">
        <x:v>trunk</x:v>
      </x:c>
      <x:c r="H55" s="11" t="str">
        <x:v>very_high</x:v>
      </x:c>
      <x:c r="I55" s="11" t="str">
        <x:v>body_part_risk_matches</x:v>
      </x:c>
      <x:c r="J55" s="11" t="str">
        <x:v>ปรับงานให้อยู่ระดับเข่าถึงเอว</x:v>
      </x:c>
      <x:c r="K55" s="8" t="str">
        <x:v>body_map_recommendations</x:v>
      </x:c>
      <x:c r="L55" s="8" t="str">
        <x:v>3-4</x:v>
      </x:c>
      <x:c r="M55" s="11" t="str">
        <x:v>act_body_trunk_very_high</x:v>
      </x:c>
      <x:c r="N55" s="11" t="n">
        <x:v>1</x:v>
      </x:c>
      <x:c r="O55" s="11" t="str">
        <x:v>2026-07-29.1</x:v>
      </x:c>
      <x:c r="P55" s="11" t="str">
        <x:v>source_verified</x:v>
      </x:c>
      <x:c r="Q55" s="11" t="str"/>
      <x:c r="R55" s="11" t="str"/>
    </x:row>
    <x:row r="56" ht="48" customHeight="1">
      <x:c r="A56" s="8" t="str">
        <x:v>act_body_trunk_very_high.04</x:v>
      </x:c>
      <x:c r="B56" s="8" t="str">
        <x:v>act_body_trunk_very_high</x:v>
      </x:c>
      <x:c r="C56" s="8" t="n">
        <x:v>4</x:v>
      </x:c>
      <x:c r="D56" s="8" t="str">
        <x:v>recommendation</x:v>
      </x:c>
      <x:c r="E56" s="11" t="str">
        <x:v>posture</x:v>
      </x:c>
      <x:c r="F56" s="11" t="str">
        <x:v>any</x:v>
      </x:c>
      <x:c r="G56" s="11" t="str">
        <x:v>trunk</x:v>
      </x:c>
      <x:c r="H56" s="11" t="str">
        <x:v>very_high</x:v>
      </x:c>
      <x:c r="I56" s="11" t="str">
        <x:v>body_part_risk_matches</x:v>
      </x:c>
      <x:c r="J56" s="11" t="str">
        <x:v>ลดการขนย้ายที่ไม่จำเป็น</x:v>
      </x:c>
      <x:c r="K56" s="8" t="str">
        <x:v>body_map_recommendations</x:v>
      </x:c>
      <x:c r="L56" s="8" t="str">
        <x:v>3-4</x:v>
      </x:c>
      <x:c r="M56" s="11" t="str">
        <x:v>act_body_trunk_very_high</x:v>
      </x:c>
      <x:c r="N56" s="11" t="n">
        <x:v>1</x:v>
      </x:c>
      <x:c r="O56" s="11" t="str">
        <x:v>2026-07-29.1</x:v>
      </x:c>
      <x:c r="P56" s="11" t="str">
        <x:v>source_verified</x:v>
      </x:c>
      <x:c r="Q56" s="11" t="str"/>
      <x:c r="R56" s="11" t="str"/>
    </x:row>
    <x:row r="57" ht="48" customHeight="1">
      <x:c r="A57" s="8" t="str">
        <x:v>act_body_wrists_high.01</x:v>
      </x:c>
      <x:c r="B57" s="8" t="str">
        <x:v>act_body_wrists_high</x:v>
      </x:c>
      <x:c r="C57" s="8" t="n">
        <x:v>1</x:v>
      </x:c>
      <x:c r="D57" s="8" t="str">
        <x:v>recommendation</x:v>
      </x:c>
      <x:c r="E57" s="11" t="str">
        <x:v>posture</x:v>
      </x:c>
      <x:c r="F57" s="11" t="str">
        <x:v>any</x:v>
      </x:c>
      <x:c r="G57" s="11" t="str">
        <x:v>wrists</x:v>
      </x:c>
      <x:c r="H57" s="11" t="str">
        <x:v>high</x:v>
      </x:c>
      <x:c r="I57" s="11" t="str">
        <x:v>body_part_risk_matches</x:v>
      </x:c>
      <x:c r="J57" s="11" t="str">
        <x:v>พักมือและข้อมือทุก 15-20 นาที</x:v>
      </x:c>
      <x:c r="K57" s="8" t="str">
        <x:v>body_map_recommendations</x:v>
      </x:c>
      <x:c r="L57" s="8" t="str">
        <x:v>5-6</x:v>
      </x:c>
      <x:c r="M57" s="11" t="str">
        <x:v>act_body_wrists_high</x:v>
      </x:c>
      <x:c r="N57" s="11" t="n">
        <x:v>1</x:v>
      </x:c>
      <x:c r="O57" s="11" t="str">
        <x:v>2026-07-29.1</x:v>
      </x:c>
      <x:c r="P57" s="11" t="str">
        <x:v>source_verified</x:v>
      </x:c>
      <x:c r="Q57" s="11" t="str">
        <x:v>พักมือและข้อมือทุก 15-20 นาที สลับงานทุก 20-30 นาที ใช้ด้ามจับที่เหมาะสม และลดแรงกำขณะจับอุปกรณ์</x:v>
      </x:c>
      <x:c r="R57" s="11" t="str">
        <x:v>Rest hands and wrists every 15-20 minutes, rotate tasks every 20-30 minutes, use suitable handles, and reduce gripping force.</x:v>
      </x:c>
    </x:row>
    <x:row r="58" ht="48" customHeight="1">
      <x:c r="A58" s="8" t="str">
        <x:v>act_body_wrists_high.02</x:v>
      </x:c>
      <x:c r="B58" s="8" t="str">
        <x:v>act_body_wrists_high</x:v>
      </x:c>
      <x:c r="C58" s="8" t="n">
        <x:v>2</x:v>
      </x:c>
      <x:c r="D58" s="8" t="str">
        <x:v>recommendation</x:v>
      </x:c>
      <x:c r="E58" s="11" t="str">
        <x:v>posture</x:v>
      </x:c>
      <x:c r="F58" s="11" t="str">
        <x:v>any</x:v>
      </x:c>
      <x:c r="G58" s="11" t="str">
        <x:v>wrists</x:v>
      </x:c>
      <x:c r="H58" s="11" t="str">
        <x:v>high</x:v>
      </x:c>
      <x:c r="I58" s="11" t="str">
        <x:v>body_part_risk_matches</x:v>
      </x:c>
      <x:c r="J58" s="11" t="str">
        <x:v>สลับงานทุก 20-30 นาที</x:v>
      </x:c>
      <x:c r="K58" s="8" t="str">
        <x:v>body_map_recommendations</x:v>
      </x:c>
      <x:c r="L58" s="8" t="str">
        <x:v>5-6</x:v>
      </x:c>
      <x:c r="M58" s="11" t="str">
        <x:v>act_body_wrists_high</x:v>
      </x:c>
      <x:c r="N58" s="11" t="n">
        <x:v>1</x:v>
      </x:c>
      <x:c r="O58" s="11" t="str">
        <x:v>2026-07-29.1</x:v>
      </x:c>
      <x:c r="P58" s="11" t="str">
        <x:v>source_verified</x:v>
      </x:c>
      <x:c r="Q58" s="11" t="str"/>
      <x:c r="R58" s="11" t="str"/>
    </x:row>
    <x:row r="59" ht="48" customHeight="1">
      <x:c r="A59" s="8" t="str">
        <x:v>act_body_wrists_high.03</x:v>
      </x:c>
      <x:c r="B59" s="8" t="str">
        <x:v>act_body_wrists_high</x:v>
      </x:c>
      <x:c r="C59" s="8" t="n">
        <x:v>3</x:v>
      </x:c>
      <x:c r="D59" s="8" t="str">
        <x:v>recommendation</x:v>
      </x:c>
      <x:c r="E59" s="11" t="str">
        <x:v>posture</x:v>
      </x:c>
      <x:c r="F59" s="11" t="str">
        <x:v>any</x:v>
      </x:c>
      <x:c r="G59" s="11" t="str">
        <x:v>wrists</x:v>
      </x:c>
      <x:c r="H59" s="11" t="str">
        <x:v>high</x:v>
      </x:c>
      <x:c r="I59" s="11" t="str">
        <x:v>body_part_risk_matches</x:v>
      </x:c>
      <x:c r="J59" s="11" t="str">
        <x:v>ใช้ด้ามจับที่เหมาะสม</x:v>
      </x:c>
      <x:c r="K59" s="8" t="str">
        <x:v>body_map_recommendations</x:v>
      </x:c>
      <x:c r="L59" s="8" t="str">
        <x:v>5-6</x:v>
      </x:c>
      <x:c r="M59" s="11" t="str">
        <x:v>act_body_wrists_high</x:v>
      </x:c>
      <x:c r="N59" s="11" t="n">
        <x:v>1</x:v>
      </x:c>
      <x:c r="O59" s="11" t="str">
        <x:v>2026-07-29.1</x:v>
      </x:c>
      <x:c r="P59" s="11" t="str">
        <x:v>source_verified</x:v>
      </x:c>
      <x:c r="Q59" s="11" t="str"/>
      <x:c r="R59" s="11" t="str"/>
    </x:row>
    <x:row r="60" ht="48" customHeight="1">
      <x:c r="A60" s="8" t="str">
        <x:v>act_body_wrists_high.04</x:v>
      </x:c>
      <x:c r="B60" s="8" t="str">
        <x:v>act_body_wrists_high</x:v>
      </x:c>
      <x:c r="C60" s="8" t="n">
        <x:v>4</x:v>
      </x:c>
      <x:c r="D60" s="8" t="str">
        <x:v>recommendation</x:v>
      </x:c>
      <x:c r="E60" s="11" t="str">
        <x:v>posture</x:v>
      </x:c>
      <x:c r="F60" s="11" t="str">
        <x:v>any</x:v>
      </x:c>
      <x:c r="G60" s="11" t="str">
        <x:v>wrists</x:v>
      </x:c>
      <x:c r="H60" s="11" t="str">
        <x:v>high</x:v>
      </x:c>
      <x:c r="I60" s="11" t="str">
        <x:v>body_part_risk_matches</x:v>
      </x:c>
      <x:c r="J60" s="11" t="str">
        <x:v>ลดแรงกำขณะจับอุปกรณ์</x:v>
      </x:c>
      <x:c r="K60" s="8" t="str">
        <x:v>body_map_recommendations</x:v>
      </x:c>
      <x:c r="L60" s="8" t="str">
        <x:v>5-6</x:v>
      </x:c>
      <x:c r="M60" s="11" t="str">
        <x:v>act_body_wrists_high</x:v>
      </x:c>
      <x:c r="N60" s="11" t="n">
        <x:v>1</x:v>
      </x:c>
      <x:c r="O60" s="11" t="str">
        <x:v>2026-07-29.1</x:v>
      </x:c>
      <x:c r="P60" s="11" t="str">
        <x:v>source_verified</x:v>
      </x:c>
      <x:c r="Q60" s="11" t="str"/>
      <x:c r="R60" s="11" t="str"/>
    </x:row>
    <x:row r="61" ht="48" customHeight="1">
      <x:c r="A61" s="8" t="str">
        <x:v>act_body_wrists_medium.01</x:v>
      </x:c>
      <x:c r="B61" s="8" t="str">
        <x:v>act_body_wrists_medium</x:v>
      </x:c>
      <x:c r="C61" s="8" t="n">
        <x:v>1</x:v>
      </x:c>
      <x:c r="D61" s="8" t="str">
        <x:v>recommendation</x:v>
      </x:c>
      <x:c r="E61" s="11" t="str">
        <x:v>posture</x:v>
      </x:c>
      <x:c r="F61" s="11" t="str">
        <x:v>any</x:v>
      </x:c>
      <x:c r="G61" s="11" t="str">
        <x:v>wrists</x:v>
      </x:c>
      <x:c r="H61" s="11" t="str">
        <x:v>medium</x:v>
      </x:c>
      <x:c r="I61" s="11" t="str">
        <x:v>body_part_risk_matches</x:v>
      </x:c>
      <x:c r="J61" s="11" t="str">
        <x:v>ใช้ด้ามจับที่พอดีมือ</x:v>
      </x:c>
      <x:c r="K61" s="8" t="str">
        <x:v>body_map_recommendations</x:v>
      </x:c>
      <x:c r="L61" s="8" t="str">
        <x:v>5</x:v>
      </x:c>
      <x:c r="M61" s="11" t="str">
        <x:v>act_body_wrists_medium</x:v>
      </x:c>
      <x:c r="N61" s="11" t="n">
        <x:v>1</x:v>
      </x:c>
      <x:c r="O61" s="11" t="str">
        <x:v>2026-07-29.1</x:v>
      </x:c>
      <x:c r="P61" s="11" t="str">
        <x:v>source_verified</x:v>
      </x:c>
      <x:c r="Q61" s="11" t="str">
        <x:v>ใช้ด้ามจับที่พอดีมือ คลายมือเป็นระยะ พักข้อมือทุก 30 นาที และยืดเหยียดนิ้วมือกับข้อมือระหว่างพัก</x:v>
      </x:c>
      <x:c r="R61" s="11" t="str">
        <x:v>Use handles that fit the hand, relax the grip regularly, rest wrists every 30 minutes, and stretch fingers and wrists during breaks.</x:v>
      </x:c>
    </x:row>
    <x:row r="62" ht="48" customHeight="1">
      <x:c r="A62" s="8" t="str">
        <x:v>act_body_wrists_medium.02</x:v>
      </x:c>
      <x:c r="B62" s="8" t="str">
        <x:v>act_body_wrists_medium</x:v>
      </x:c>
      <x:c r="C62" s="8" t="n">
        <x:v>2</x:v>
      </x:c>
      <x:c r="D62" s="8" t="str">
        <x:v>recommendation</x:v>
      </x:c>
      <x:c r="E62" s="11" t="str">
        <x:v>posture</x:v>
      </x:c>
      <x:c r="F62" s="11" t="str">
        <x:v>any</x:v>
      </x:c>
      <x:c r="G62" s="11" t="str">
        <x:v>wrists</x:v>
      </x:c>
      <x:c r="H62" s="11" t="str">
        <x:v>medium</x:v>
      </x:c>
      <x:c r="I62" s="11" t="str">
        <x:v>body_part_risk_matches</x:v>
      </x:c>
      <x:c r="J62" s="11" t="str">
        <x:v>คลายมือเป็นระยะ</x:v>
      </x:c>
      <x:c r="K62" s="8" t="str">
        <x:v>body_map_recommendations</x:v>
      </x:c>
      <x:c r="L62" s="8" t="str">
        <x:v>5</x:v>
      </x:c>
      <x:c r="M62" s="11" t="str">
        <x:v>act_body_wrists_medium</x:v>
      </x:c>
      <x:c r="N62" s="11" t="n">
        <x:v>1</x:v>
      </x:c>
      <x:c r="O62" s="11" t="str">
        <x:v>2026-07-29.1</x:v>
      </x:c>
      <x:c r="P62" s="11" t="str">
        <x:v>source_verified</x:v>
      </x:c>
      <x:c r="Q62" s="11" t="str"/>
      <x:c r="R62" s="11" t="str"/>
    </x:row>
    <x:row r="63" ht="48" customHeight="1">
      <x:c r="A63" s="8" t="str">
        <x:v>act_body_wrists_medium.03</x:v>
      </x:c>
      <x:c r="B63" s="8" t="str">
        <x:v>act_body_wrists_medium</x:v>
      </x:c>
      <x:c r="C63" s="8" t="n">
        <x:v>3</x:v>
      </x:c>
      <x:c r="D63" s="8" t="str">
        <x:v>recommendation</x:v>
      </x:c>
      <x:c r="E63" s="11" t="str">
        <x:v>posture</x:v>
      </x:c>
      <x:c r="F63" s="11" t="str">
        <x:v>any</x:v>
      </x:c>
      <x:c r="G63" s="11" t="str">
        <x:v>wrists</x:v>
      </x:c>
      <x:c r="H63" s="11" t="str">
        <x:v>medium</x:v>
      </x:c>
      <x:c r="I63" s="11" t="str">
        <x:v>body_part_risk_matches</x:v>
      </x:c>
      <x:c r="J63" s="11" t="str">
        <x:v>พักข้อมือทุก 30 นาที และยืดเหยียดนิ้วมือกับข้อมือระหว่างพัก</x:v>
      </x:c>
      <x:c r="K63" s="8" t="str">
        <x:v>body_map_recommendations</x:v>
      </x:c>
      <x:c r="L63" s="8" t="str">
        <x:v>5</x:v>
      </x:c>
      <x:c r="M63" s="11" t="str">
        <x:v>act_body_wrists_medium</x:v>
      </x:c>
      <x:c r="N63" s="11" t="n">
        <x:v>1</x:v>
      </x:c>
      <x:c r="O63" s="11" t="str">
        <x:v>2026-07-29.1</x:v>
      </x:c>
      <x:c r="P63" s="11" t="str">
        <x:v>source_verified</x:v>
      </x:c>
      <x:c r="Q63" s="11" t="str"/>
      <x:c r="R63" s="11" t="str"/>
    </x:row>
    <x:row r="64" ht="48" customHeight="1">
      <x:c r="A64" s="8" t="str">
        <x:v>act_body_wrists_very_high.01</x:v>
      </x:c>
      <x:c r="B64" s="8" t="str">
        <x:v>act_body_wrists_very_high</x:v>
      </x:c>
      <x:c r="C64" s="8" t="n">
        <x:v>1</x:v>
      </x:c>
      <x:c r="D64" s="8" t="str">
        <x:v>recommendation</x:v>
      </x:c>
      <x:c r="E64" s="11" t="str">
        <x:v>posture</x:v>
      </x:c>
      <x:c r="F64" s="11" t="str">
        <x:v>any</x:v>
      </x:c>
      <x:c r="G64" s="11" t="str">
        <x:v>wrists</x:v>
      </x:c>
      <x:c r="H64" s="11" t="str">
        <x:v>very_high</x:v>
      </x:c>
      <x:c r="I64" s="11" t="str">
        <x:v>body_part_risk_matches</x:v>
      </x:c>
      <x:c r="J64" s="11" t="str">
        <x:v>พักข้อมือ 3-5 นาทีทุก 15 นาที</x:v>
      </x:c>
      <x:c r="K64" s="8" t="str">
        <x:v>body_map_recommendations</x:v>
      </x:c>
      <x:c r="L64" s="8" t="str">
        <x:v>6</x:v>
      </x:c>
      <x:c r="M64" s="11" t="str">
        <x:v>act_body_wrists_very_high</x:v>
      </x:c>
      <x:c r="N64" s="11" t="n">
        <x:v>1</x:v>
      </x:c>
      <x:c r="O64" s="11" t="str">
        <x:v>2026-07-29.1</x:v>
      </x:c>
      <x:c r="P64" s="11" t="str">
        <x:v>source_verified</x:v>
      </x:c>
      <x:c r="Q64" s="11" t="str">
        <x:v>พักข้อมือ 3-5 นาทีทุก 15 นาที เปลี่ยนเครื่องมือให้พอดีกับมือ และใช้อุปกรณ์ช่วยลดแรงกำหรือแรงบีบที่ไม่จำเป็น</x:v>
      </x:c>
      <x:c r="R64" s="11" t="str">
        <x:v>Rest wrists 3-5 minutes every 15 minutes, change to better-fitting tools, and use aids that reduce unnecessary gripping or squeezing force.</x:v>
      </x:c>
    </x:row>
    <x:row r="65" ht="48" customHeight="1">
      <x:c r="A65" s="8" t="str">
        <x:v>act_body_wrists_very_high.02</x:v>
      </x:c>
      <x:c r="B65" s="8" t="str">
        <x:v>act_body_wrists_very_high</x:v>
      </x:c>
      <x:c r="C65" s="8" t="n">
        <x:v>2</x:v>
      </x:c>
      <x:c r="D65" s="8" t="str">
        <x:v>recommendation</x:v>
      </x:c>
      <x:c r="E65" s="11" t="str">
        <x:v>posture</x:v>
      </x:c>
      <x:c r="F65" s="11" t="str">
        <x:v>any</x:v>
      </x:c>
      <x:c r="G65" s="11" t="str">
        <x:v>wrists</x:v>
      </x:c>
      <x:c r="H65" s="11" t="str">
        <x:v>very_high</x:v>
      </x:c>
      <x:c r="I65" s="11" t="str">
        <x:v>body_part_risk_matches</x:v>
      </x:c>
      <x:c r="J65" s="11" t="str">
        <x:v>เปลี่ยนเครื่องมือให้พอดีกับมือ</x:v>
      </x:c>
      <x:c r="K65" s="8" t="str">
        <x:v>body_map_recommendations</x:v>
      </x:c>
      <x:c r="L65" s="8" t="str">
        <x:v>6</x:v>
      </x:c>
      <x:c r="M65" s="11" t="str">
        <x:v>act_body_wrists_very_high</x:v>
      </x:c>
      <x:c r="N65" s="11" t="n">
        <x:v>1</x:v>
      </x:c>
      <x:c r="O65" s="11" t="str">
        <x:v>2026-07-29.1</x:v>
      </x:c>
      <x:c r="P65" s="11" t="str">
        <x:v>source_verified</x:v>
      </x:c>
      <x:c r="Q65" s="11" t="str"/>
      <x:c r="R65" s="11" t="str"/>
    </x:row>
    <x:row r="66" ht="48" customHeight="1">
      <x:c r="A66" s="8" t="str">
        <x:v>act_body_wrists_very_high.03</x:v>
      </x:c>
      <x:c r="B66" s="8" t="str">
        <x:v>act_body_wrists_very_high</x:v>
      </x:c>
      <x:c r="C66" s="8" t="n">
        <x:v>3</x:v>
      </x:c>
      <x:c r="D66" s="8" t="str">
        <x:v>recommendation</x:v>
      </x:c>
      <x:c r="E66" s="11" t="str">
        <x:v>posture</x:v>
      </x:c>
      <x:c r="F66" s="11" t="str">
        <x:v>any</x:v>
      </x:c>
      <x:c r="G66" s="11" t="str">
        <x:v>wrists</x:v>
      </x:c>
      <x:c r="H66" s="11" t="str">
        <x:v>very_high</x:v>
      </x:c>
      <x:c r="I66" s="11" t="str">
        <x:v>body_part_risk_matches</x:v>
      </x:c>
      <x:c r="J66" s="11" t="str">
        <x:v>ใช้อุปกรณ์ช่วยลดแรงกำหรือแรงบีบที่ไม่จำเป็น</x:v>
      </x:c>
      <x:c r="K66" s="8" t="str">
        <x:v>body_map_recommendations</x:v>
      </x:c>
      <x:c r="L66" s="8" t="str">
        <x:v>6</x:v>
      </x:c>
      <x:c r="M66" s="11" t="str">
        <x:v>act_body_wrists_very_high</x:v>
      </x:c>
      <x:c r="N66" s="11" t="n">
        <x:v>1</x:v>
      </x:c>
      <x:c r="O66" s="11" t="str">
        <x:v>2026-07-29.1</x:v>
      </x:c>
      <x:c r="P66" s="11" t="str">
        <x:v>source_verified</x:v>
      </x:c>
      <x:c r="Q66" s="11" t="str"/>
      <x:c r="R66" s="11" t="str"/>
    </x:row>
    <x:row r="67" ht="48" customHeight="1">
      <x:c r="A67" s="8" t="str">
        <x:v>act_check_wheels.01</x:v>
      </x:c>
      <x:c r="B67" s="8" t="str">
        <x:v>act_check_wheels</x:v>
      </x:c>
      <x:c r="C67" s="8" t="n">
        <x:v>1</x:v>
      </x:c>
      <x:c r="D67" s="8" t="str">
        <x:v>recommendation</x:v>
      </x:c>
      <x:c r="E67" s="11" t="str">
        <x:v>workloadSupport</x:v>
      </x:c>
      <x:c r="F67" s="11" t="str">
        <x:v>any</x:v>
      </x:c>
      <x:c r="G67" s="11" t="str">
        <x:v>any</x:v>
      </x:c>
      <x:c r="H67" s="11" t="str">
        <x:v>any</x:v>
      </x:c>
      <x:c r="I67" s="11" t="str">
        <x:v>selection_key_selected</x:v>
      </x:c>
      <x:c r="J67" s="11" t="str">
        <x:v>ตรวจสอบล้อรถเข็นว่าฝืดหรือไม่</x:v>
      </x:c>
      <x:c r="K67" s="8" t="str">
        <x:v>ilo_ergonomic_checkpoints_agriculture</x:v>
      </x:c>
      <x:c r="L67" s="8" t="str">
        <x:v>37</x:v>
      </x:c>
      <x:c r="M67" s="11" t="str">
        <x:v>Checkpoint 5</x:v>
      </x:c>
      <x:c r="N67" s="11" t="n">
        <x:v>3</x:v>
      </x:c>
      <x:c r="O67" s="11" t="str">
        <x:v>2026-07-29.1</x:v>
      </x:c>
      <x:c r="P67" s="11" t="str">
        <x:v>source_verified</x:v>
      </x:c>
      <x:c r="Q67" s="11" t="str">
        <x:v>ตรวจสอบล้อรถเข็นว่าฝืดหรือไม่</x:v>
      </x:c>
      <x:c r="R67" s="11" t="str">
        <x:v>Check cart wheels for friction</x:v>
      </x:c>
    </x:row>
    <x:row r="68" ht="48" customHeight="1">
      <x:c r="A68" s="8" t="str">
        <x:v>act_extra_fert_cart.01</x:v>
      </x:c>
      <x:c r="B68" s="8" t="str">
        <x:v>act_extra_fert_cart</x:v>
      </x:c>
      <x:c r="C68" s="8" t="n">
        <x:v>1</x:v>
      </x:c>
      <x:c r="D68" s="8" t="str">
        <x:v>recommendation</x:v>
      </x:c>
      <x:c r="E68" s="11" t="str">
        <x:v>workloadSupport</x:v>
      </x:c>
      <x:c r="F68" s="11" t="str">
        <x:v>any</x:v>
      </x:c>
      <x:c r="G68" s="11" t="str">
        <x:v>any</x:v>
      </x:c>
      <x:c r="H68" s="11" t="str">
        <x:v>any</x:v>
      </x:c>
      <x:c r="I68" s="11" t="str">
        <x:v>selection_key_selected</x:v>
      </x:c>
      <x:c r="J68" s="11" t="str">
        <x:v>ใช้รถเข็นบรรทุกกระสอบปุ๋ยแทนการแบก</x:v>
      </x:c>
      <x:c r="K68" s="8" t="str">
        <x:v>app_recommendations_v3</x:v>
      </x:c>
      <x:c r="L68" s="8" t="str">
        <x:v>2</x:v>
      </x:c>
      <x:c r="M68" s="11" t="str">
        <x:v>Fertilizing</x:v>
      </x:c>
      <x:c r="N68" s="11" t="n">
        <x:v>2</x:v>
      </x:c>
      <x:c r="O68" s="11" t="str">
        <x:v>2026-07-29.1</x:v>
      </x:c>
      <x:c r="P68" s="11" t="str">
        <x:v>source_verified</x:v>
      </x:c>
      <x:c r="Q68" s="11" t="str">
        <x:v>ใช้รถเข็นบรรทุกกระสอบปุ๋ยแทนการแบก</x:v>
      </x:c>
      <x:c r="R68" s="11" t="str">
        <x:v>Use cart instead of carrying sacks</x:v>
      </x:c>
    </x:row>
    <x:row r="69" ht="48" customHeight="1">
      <x:c r="A69" s="8" t="str">
        <x:v>act_extra_prune_ladder.01</x:v>
      </x:c>
      <x:c r="B69" s="8" t="str">
        <x:v>act_extra_prune_ladder</x:v>
      </x:c>
      <x:c r="C69" s="8" t="n">
        <x:v>1</x:v>
      </x:c>
      <x:c r="D69" s="8" t="str">
        <x:v>recommendation</x:v>
      </x:c>
      <x:c r="E69" s="11" t="str">
        <x:v>workloadSupport</x:v>
      </x:c>
      <x:c r="F69" s="11" t="str">
        <x:v>any</x:v>
      </x:c>
      <x:c r="G69" s="11" t="str">
        <x:v>any</x:v>
      </x:c>
      <x:c r="H69" s="11" t="str">
        <x:v>any</x:v>
      </x:c>
      <x:c r="I69" s="11" t="str">
        <x:v>selection_key_selected</x:v>
      </x:c>
      <x:c r="J69" s="11" t="str">
        <x:v>ใช้บันไดที่มั่นคงแทนการเอื้อมสุดแขน</x:v>
      </x:c>
      <x:c r="K69" s="8" t="str">
        <x:v>app_recommendations_v3</x:v>
      </x:c>
      <x:c r="L69" s="8" t="str">
        <x:v>2</x:v>
      </x:c>
      <x:c r="M69" s="11" t="str">
        <x:v>Pruning</x:v>
      </x:c>
      <x:c r="N69" s="11" t="n">
        <x:v>2</x:v>
      </x:c>
      <x:c r="O69" s="11" t="str">
        <x:v>2026-07-29.1</x:v>
      </x:c>
      <x:c r="P69" s="11" t="str">
        <x:v>source_verified</x:v>
      </x:c>
      <x:c r="Q69" s="11" t="str">
        <x:v>ใช้บันไดที่มั่นคงแทนการเอื้อมสุดแขน</x:v>
      </x:c>
      <x:c r="R69" s="11" t="str">
        <x:v>Use stable ladder instead of reaching</x:v>
      </x:c>
    </x:row>
    <x:row r="70" ht="48" customHeight="1">
      <x:c r="A70" s="8" t="str">
        <x:v>act_extra_prune_tool.01</x:v>
      </x:c>
      <x:c r="B70" s="8" t="str">
        <x:v>act_extra_prune_tool</x:v>
      </x:c>
      <x:c r="C70" s="8" t="n">
        <x:v>1</x:v>
      </x:c>
      <x:c r="D70" s="8" t="str">
        <x:v>recommendation</x:v>
      </x:c>
      <x:c r="E70" s="11" t="str">
        <x:v>workloadSupport</x:v>
      </x:c>
      <x:c r="F70" s="11" t="str">
        <x:v>any</x:v>
      </x:c>
      <x:c r="G70" s="11" t="str">
        <x:v>any</x:v>
      </x:c>
      <x:c r="H70" s="11" t="str">
        <x:v>any</x:v>
      </x:c>
      <x:c r="I70" s="11" t="str">
        <x:v>selection_key_selected</x:v>
      </x:c>
      <x:c r="J70" s="11" t="str">
        <x:v>ใช้กรรไกรตัดกิ่งด้ามยาว</x:v>
      </x:c>
      <x:c r="K70" s="8" t="str">
        <x:v>app_recommendations_v3</x:v>
      </x:c>
      <x:c r="L70" s="8" t="str">
        <x:v>2</x:v>
      </x:c>
      <x:c r="M70" s="11" t="str">
        <x:v>Pruning</x:v>
      </x:c>
      <x:c r="N70" s="11" t="n">
        <x:v>2</x:v>
      </x:c>
      <x:c r="O70" s="11" t="str">
        <x:v>2026-07-29.1</x:v>
      </x:c>
      <x:c r="P70" s="11" t="str">
        <x:v>source_verified</x:v>
      </x:c>
      <x:c r="Q70" s="11" t="str">
        <x:v>ใช้กรรไกรตัดกิ่งด้ามยาว</x:v>
      </x:c>
      <x:c r="R70" s="11" t="str">
        <x:v>Use long-handled pruning shears</x:v>
      </x:c>
    </x:row>
    <x:row r="71" ht="48" customHeight="1">
      <x:c r="A71" s="8" t="str">
        <x:v>act_extra_spray_strap.01</x:v>
      </x:c>
      <x:c r="B71" s="8" t="str">
        <x:v>act_extra_spray_strap</x:v>
      </x:c>
      <x:c r="C71" s="8" t="n">
        <x:v>1</x:v>
      </x:c>
      <x:c r="D71" s="8" t="str">
        <x:v>recommendation</x:v>
      </x:c>
      <x:c r="E71" s="11" t="str">
        <x:v>workloadSupport</x:v>
      </x:c>
      <x:c r="F71" s="11" t="str">
        <x:v>any</x:v>
      </x:c>
      <x:c r="G71" s="11" t="str">
        <x:v>any</x:v>
      </x:c>
      <x:c r="H71" s="11" t="str">
        <x:v>any</x:v>
      </x:c>
      <x:c r="I71" s="11" t="str">
        <x:v>selection_key_selected</x:v>
      </x:c>
      <x:c r="J71" s="11" t="str">
        <x:v>ปรับสายสะพายเครื่องพ่นยาให้กระชับ</x:v>
      </x:c>
      <x:c r="K71" s="8" t="str">
        <x:v>app_recommendations_v3</x:v>
      </x:c>
      <x:c r="L71" s="8" t="str">
        <x:v>2</x:v>
      </x:c>
      <x:c r="M71" s="11" t="str">
        <x:v>Pesticide spraying</x:v>
      </x:c>
      <x:c r="N71" s="11" t="n">
        <x:v>2</x:v>
      </x:c>
      <x:c r="O71" s="11" t="str">
        <x:v>2026-07-29.1</x:v>
      </x:c>
      <x:c r="P71" s="11" t="str">
        <x:v>source_verified</x:v>
      </x:c>
      <x:c r="Q71" s="11" t="str">
        <x:v>ปรับสายสะพายเครื่องพ่นยาให้กระชับ</x:v>
      </x:c>
      <x:c r="R71" s="11" t="str">
        <x:v>Adjust sprayer straps tightly</x:v>
      </x:c>
    </x:row>
    <x:row r="72" ht="48" customHeight="1">
      <x:c r="A72" s="8" t="str">
        <x:v>act_extra_spray_switch.01</x:v>
      </x:c>
      <x:c r="B72" s="8" t="str">
        <x:v>act_extra_spray_switch</x:v>
      </x:c>
      <x:c r="C72" s="8" t="n">
        <x:v>1</x:v>
      </x:c>
      <x:c r="D72" s="8" t="str">
        <x:v>recommendation</x:v>
      </x:c>
      <x:c r="E72" s="11" t="str">
        <x:v>posture</x:v>
      </x:c>
      <x:c r="F72" s="11" t="str">
        <x:v>any</x:v>
      </x:c>
      <x:c r="G72" s="11" t="str">
        <x:v>any</x:v>
      </x:c>
      <x:c r="H72" s="11" t="str">
        <x:v>any</x:v>
      </x:c>
      <x:c r="I72" s="11" t="str">
        <x:v>selection_key_selected</x:v>
      </x:c>
      <x:c r="J72" s="11" t="str">
        <x:v>สลับข้างสะพายถังเพื่อลดการกดทับไหล่เดียว</x:v>
      </x:c>
      <x:c r="K72" s="8" t="str">
        <x:v>app_recommendations_v3</x:v>
      </x:c>
      <x:c r="L72" s="8" t="str">
        <x:v>2</x:v>
      </x:c>
      <x:c r="M72" s="11" t="str">
        <x:v>Pesticide spraying</x:v>
      </x:c>
      <x:c r="N72" s="11" t="n">
        <x:v>2</x:v>
      </x:c>
      <x:c r="O72" s="11" t="str">
        <x:v>2026-07-29.1</x:v>
      </x:c>
      <x:c r="P72" s="11" t="str">
        <x:v>source_verified</x:v>
      </x:c>
      <x:c r="Q72" s="11" t="str">
        <x:v>สลับข้างสะพายถังเพื่อลดการกดทับไหล่เดียว</x:v>
      </x:c>
      <x:c r="R72" s="11" t="str">
        <x:v>Switch shoulders to balance load</x:v>
      </x:c>
    </x:row>
    <x:row r="73" ht="48" customHeight="1">
      <x:c r="A73" s="8" t="str">
        <x:v>act_fert_ref_high.01</x:v>
      </x:c>
      <x:c r="B73" s="8" t="str">
        <x:v>act_fert_ref_high</x:v>
      </x:c>
      <x:c r="C73" s="8" t="n">
        <x:v>1</x:v>
      </x:c>
      <x:c r="D73" s="8" t="str">
        <x:v>recommendation</x:v>
      </x:c>
      <x:c r="E73" s="11" t="str">
        <x:v>riskReduction</x:v>
      </x:c>
      <x:c r="F73" s="11" t="str">
        <x:v>fertilizing</x:v>
      </x:c>
      <x:c r="G73" s="11" t="str">
        <x:v>any</x:v>
      </x:c>
      <x:c r="H73" s="11" t="str">
        <x:v>high</x:v>
      </x:c>
      <x:c r="I73" s="11" t="str">
        <x:v>activity_and_overall_risk_match</x:v>
      </x:c>
      <x:c r="J73" s="11" t="str">
        <x:v>ลดน้ำหนักปุ๋ยต่อครั้ง</x:v>
      </x:c>
      <x:c r="K73" s="8" t="str">
        <x:v>app_recommendations_v3</x:v>
      </x:c>
      <x:c r="L73" s="8" t="str">
        <x:v>2</x:v>
      </x:c>
      <x:c r="M73" s="11" t="str">
        <x:v>act_fert_ref_high</x:v>
      </x:c>
      <x:c r="N73" s="11" t="n">
        <x:v>2</x:v>
      </x:c>
      <x:c r="O73" s="11" t="str">
        <x:v>2026-07-29.1</x:v>
      </x:c>
      <x:c r="P73" s="11" t="str">
        <x:v>source_verified</x:v>
      </x:c>
      <x:c r="Q73" s="11" t="str">
        <x:v>ลดน้ำหนักปุ๋ยต่อครั้ง ใช้สายพานหรือรถเข็น จัดพัก 10 นาทีทุกชั่วโมง และหลีกเลี่ยงการทำงานบนพื้นที่ลาดชันต่อเนื่อง</x:v>
      </x:c>
      <x:c r="R73" s="11" t="str">
        <x:v>Reduce fertilizer weight per trip, use a conveyor or cart, rest 10 minutes every hour, and avoid continuous work on slopes.</x:v>
      </x:c>
    </x:row>
    <x:row r="74" ht="48" customHeight="1">
      <x:c r="A74" s="8" t="str">
        <x:v>act_fert_ref_high.02</x:v>
      </x:c>
      <x:c r="B74" s="8" t="str">
        <x:v>act_fert_ref_high</x:v>
      </x:c>
      <x:c r="C74" s="8" t="n">
        <x:v>2</x:v>
      </x:c>
      <x:c r="D74" s="8" t="str">
        <x:v>recommendation</x:v>
      </x:c>
      <x:c r="E74" s="11" t="str">
        <x:v>riskReduction</x:v>
      </x:c>
      <x:c r="F74" s="11" t="str">
        <x:v>fertilizing</x:v>
      </x:c>
      <x:c r="G74" s="11" t="str">
        <x:v>any</x:v>
      </x:c>
      <x:c r="H74" s="11" t="str">
        <x:v>high</x:v>
      </x:c>
      <x:c r="I74" s="11" t="str">
        <x:v>activity_and_overall_risk_match</x:v>
      </x:c>
      <x:c r="J74" s="11" t="str">
        <x:v>ใช้สายพานหรือรถเข็น</x:v>
      </x:c>
      <x:c r="K74" s="8" t="str">
        <x:v>app_recommendations_v3</x:v>
      </x:c>
      <x:c r="L74" s="8" t="str">
        <x:v>2</x:v>
      </x:c>
      <x:c r="M74" s="11" t="str">
        <x:v>act_fert_ref_high</x:v>
      </x:c>
      <x:c r="N74" s="11" t="n">
        <x:v>2</x:v>
      </x:c>
      <x:c r="O74" s="11" t="str">
        <x:v>2026-07-29.1</x:v>
      </x:c>
      <x:c r="P74" s="11" t="str">
        <x:v>source_verified</x:v>
      </x:c>
      <x:c r="Q74" s="11" t="str"/>
      <x:c r="R74" s="11" t="str"/>
    </x:row>
    <x:row r="75" ht="48" customHeight="1">
      <x:c r="A75" s="8" t="str">
        <x:v>act_fert_ref_high.03</x:v>
      </x:c>
      <x:c r="B75" s="8" t="str">
        <x:v>act_fert_ref_high</x:v>
      </x:c>
      <x:c r="C75" s="8" t="n">
        <x:v>3</x:v>
      </x:c>
      <x:c r="D75" s="8" t="str">
        <x:v>recommendation</x:v>
      </x:c>
      <x:c r="E75" s="11" t="str">
        <x:v>riskReduction</x:v>
      </x:c>
      <x:c r="F75" s="11" t="str">
        <x:v>fertilizing</x:v>
      </x:c>
      <x:c r="G75" s="11" t="str">
        <x:v>any</x:v>
      </x:c>
      <x:c r="H75" s="11" t="str">
        <x:v>high</x:v>
      </x:c>
      <x:c r="I75" s="11" t="str">
        <x:v>activity_and_overall_risk_match</x:v>
      </x:c>
      <x:c r="J75" s="11" t="str">
        <x:v>จัดพัก 10 นาทีทุกชั่วโมง</x:v>
      </x:c>
      <x:c r="K75" s="8" t="str">
        <x:v>app_recommendations_v3</x:v>
      </x:c>
      <x:c r="L75" s="8" t="str">
        <x:v>2</x:v>
      </x:c>
      <x:c r="M75" s="11" t="str">
        <x:v>act_fert_ref_high</x:v>
      </x:c>
      <x:c r="N75" s="11" t="n">
        <x:v>2</x:v>
      </x:c>
      <x:c r="O75" s="11" t="str">
        <x:v>2026-07-29.1</x:v>
      </x:c>
      <x:c r="P75" s="11" t="str">
        <x:v>source_verified</x:v>
      </x:c>
      <x:c r="Q75" s="11" t="str"/>
      <x:c r="R75" s="11" t="str"/>
    </x:row>
    <x:row r="76" ht="48" customHeight="1">
      <x:c r="A76" s="8" t="str">
        <x:v>act_fert_ref_high.04</x:v>
      </x:c>
      <x:c r="B76" s="8" t="str">
        <x:v>act_fert_ref_high</x:v>
      </x:c>
      <x:c r="C76" s="8" t="n">
        <x:v>4</x:v>
      </x:c>
      <x:c r="D76" s="8" t="str">
        <x:v>recommendation</x:v>
      </x:c>
      <x:c r="E76" s="11" t="str">
        <x:v>riskReduction</x:v>
      </x:c>
      <x:c r="F76" s="11" t="str">
        <x:v>fertilizing</x:v>
      </x:c>
      <x:c r="G76" s="11" t="str">
        <x:v>any</x:v>
      </x:c>
      <x:c r="H76" s="11" t="str">
        <x:v>high</x:v>
      </x:c>
      <x:c r="I76" s="11" t="str">
        <x:v>activity_and_overall_risk_match</x:v>
      </x:c>
      <x:c r="J76" s="11" t="str">
        <x:v>หลีกเลี่ยงการทำงานบนพื้นที่ลาดชันต่อเนื่อง</x:v>
      </x:c>
      <x:c r="K76" s="8" t="str">
        <x:v>app_recommendations_v3</x:v>
      </x:c>
      <x:c r="L76" s="8" t="str">
        <x:v>2</x:v>
      </x:c>
      <x:c r="M76" s="11" t="str">
        <x:v>act_fert_ref_high</x:v>
      </x:c>
      <x:c r="N76" s="11" t="n">
        <x:v>2</x:v>
      </x:c>
      <x:c r="O76" s="11" t="str">
        <x:v>2026-07-29.1</x:v>
      </x:c>
      <x:c r="P76" s="11" t="str">
        <x:v>source_verified</x:v>
      </x:c>
      <x:c r="Q76" s="11" t="str"/>
      <x:c r="R76" s="11" t="str"/>
    </x:row>
    <x:row r="77" ht="48" customHeight="1">
      <x:c r="A77" s="8" t="str">
        <x:v>act_fert_ref_low.01</x:v>
      </x:c>
      <x:c r="B77" s="8" t="str">
        <x:v>act_fert_ref_low</x:v>
      </x:c>
      <x:c r="C77" s="8" t="n">
        <x:v>1</x:v>
      </x:c>
      <x:c r="D77" s="8" t="str">
        <x:v>recommendation</x:v>
      </x:c>
      <x:c r="E77" s="11" t="str">
        <x:v>riskReduction</x:v>
      </x:c>
      <x:c r="F77" s="11" t="str">
        <x:v>fertilizing</x:v>
      </x:c>
      <x:c r="G77" s="11" t="str">
        <x:v>any</x:v>
      </x:c>
      <x:c r="H77" s="11" t="str">
        <x:v>low</x:v>
      </x:c>
      <x:c r="I77" s="11" t="str">
        <x:v>activity_and_overall_risk_match</x:v>
      </x:c>
      <x:c r="J77" s="11" t="str">
        <x:v>ใช้รถเข็นถ้าต้องเคลื่อนย้ายปุ๋ยไกล และหมั่นเปลี่ยนท่าทางทุก 30 นาที</x:v>
      </x:c>
      <x:c r="K77" s="8" t="str">
        <x:v>app_recommendations_v3</x:v>
      </x:c>
      <x:c r="L77" s="8" t="str">
        <x:v>2</x:v>
      </x:c>
      <x:c r="M77" s="11" t="str">
        <x:v>act_fert_ref_low</x:v>
      </x:c>
      <x:c r="N77" s="11" t="n">
        <x:v>2</x:v>
      </x:c>
      <x:c r="O77" s="11" t="str">
        <x:v>2026-07-29.1</x:v>
      </x:c>
      <x:c r="P77" s="11" t="str">
        <x:v>source_verified</x:v>
      </x:c>
      <x:c r="Q77" s="11" t="str">
        <x:v>ใช้รถเข็นถ้าต้องเคลื่อนย้ายปุ๋ยไกล และหมั่นเปลี่ยนท่าทางทุก 30 นาที</x:v>
      </x:c>
      <x:c r="R77" s="11" t="str">
        <x:v>Use a cart when fertilizer must be moved far, and change posture every 30 minutes.</x:v>
      </x:c>
    </x:row>
    <x:row r="78" ht="48" customHeight="1">
      <x:c r="A78" s="8" t="str">
        <x:v>act_fert_ref_medium.01</x:v>
      </x:c>
      <x:c r="B78" s="8" t="str">
        <x:v>act_fert_ref_medium</x:v>
      </x:c>
      <x:c r="C78" s="8" t="n">
        <x:v>1</x:v>
      </x:c>
      <x:c r="D78" s="8" t="str">
        <x:v>recommendation</x:v>
      </x:c>
      <x:c r="E78" s="11" t="str">
        <x:v>riskReduction</x:v>
      </x:c>
      <x:c r="F78" s="11" t="str">
        <x:v>fertilizing</x:v>
      </x:c>
      <x:c r="G78" s="11" t="str">
        <x:v>any</x:v>
      </x:c>
      <x:c r="H78" s="11" t="str">
        <x:v>medium</x:v>
      </x:c>
      <x:c r="I78" s="11" t="str">
        <x:v>activity_and_overall_risk_match</x:v>
      </x:c>
      <x:c r="J78" s="11" t="str">
        <x:v>แบ่งปุ๋ยใส่ภาชนะเล็ก</x:v>
      </x:c>
      <x:c r="K78" s="8" t="str">
        <x:v>app_recommendations_v3</x:v>
      </x:c>
      <x:c r="L78" s="8" t="str">
        <x:v>2</x:v>
      </x:c>
      <x:c r="M78" s="11" t="str">
        <x:v>act_fert_ref_medium</x:v>
      </x:c>
      <x:c r="N78" s="11" t="n">
        <x:v>2</x:v>
      </x:c>
      <x:c r="O78" s="11" t="str">
        <x:v>2026-07-29.1</x:v>
      </x:c>
      <x:c r="P78" s="11" t="str">
        <x:v>source_verified</x:v>
      </x:c>
      <x:c r="Q78" s="11" t="str">
        <x:v>แบ่งปุ๋ยใส่ภาชนะเล็ก ใช้รถเข็น หลีกเลี่ยงการบิดตัวขณะยก และใส่รองเท้ากันลื่น</x:v>
      </x:c>
      <x:c r="R78" s="11" t="str">
        <x:v>Split fertilizer into smaller containers, use a cart, avoid twisting while lifting, and wear non-slip footwear.</x:v>
      </x:c>
    </x:row>
    <x:row r="79" ht="48" customHeight="1">
      <x:c r="A79" s="8" t="str">
        <x:v>act_fert_ref_medium.02</x:v>
      </x:c>
      <x:c r="B79" s="8" t="str">
        <x:v>act_fert_ref_medium</x:v>
      </x:c>
      <x:c r="C79" s="8" t="n">
        <x:v>2</x:v>
      </x:c>
      <x:c r="D79" s="8" t="str">
        <x:v>recommendation</x:v>
      </x:c>
      <x:c r="E79" s="11" t="str">
        <x:v>riskReduction</x:v>
      </x:c>
      <x:c r="F79" s="11" t="str">
        <x:v>fertilizing</x:v>
      </x:c>
      <x:c r="G79" s="11" t="str">
        <x:v>any</x:v>
      </x:c>
      <x:c r="H79" s="11" t="str">
        <x:v>medium</x:v>
      </x:c>
      <x:c r="I79" s="11" t="str">
        <x:v>activity_and_overall_risk_match</x:v>
      </x:c>
      <x:c r="J79" s="11" t="str">
        <x:v>ใช้รถเข็น</x:v>
      </x:c>
      <x:c r="K79" s="8" t="str">
        <x:v>app_recommendations_v3</x:v>
      </x:c>
      <x:c r="L79" s="8" t="str">
        <x:v>2</x:v>
      </x:c>
      <x:c r="M79" s="11" t="str">
        <x:v>act_fert_ref_medium</x:v>
      </x:c>
      <x:c r="N79" s="11" t="n">
        <x:v>2</x:v>
      </x:c>
      <x:c r="O79" s="11" t="str">
        <x:v>2026-07-29.1</x:v>
      </x:c>
      <x:c r="P79" s="11" t="str">
        <x:v>source_verified</x:v>
      </x:c>
      <x:c r="Q79" s="11" t="str"/>
      <x:c r="R79" s="11" t="str"/>
    </x:row>
    <x:row r="80" ht="48" customHeight="1">
      <x:c r="A80" s="8" t="str">
        <x:v>act_fert_ref_medium.03</x:v>
      </x:c>
      <x:c r="B80" s="8" t="str">
        <x:v>act_fert_ref_medium</x:v>
      </x:c>
      <x:c r="C80" s="8" t="n">
        <x:v>3</x:v>
      </x:c>
      <x:c r="D80" s="8" t="str">
        <x:v>recommendation</x:v>
      </x:c>
      <x:c r="E80" s="11" t="str">
        <x:v>riskReduction</x:v>
      </x:c>
      <x:c r="F80" s="11" t="str">
        <x:v>fertilizing</x:v>
      </x:c>
      <x:c r="G80" s="11" t="str">
        <x:v>any</x:v>
      </x:c>
      <x:c r="H80" s="11" t="str">
        <x:v>medium</x:v>
      </x:c>
      <x:c r="I80" s="11" t="str">
        <x:v>activity_and_overall_risk_match</x:v>
      </x:c>
      <x:c r="J80" s="11" t="str">
        <x:v>หลีกเลี่ยงการบิดตัวขณะยก และใส่รองเท้ากันลื่น</x:v>
      </x:c>
      <x:c r="K80" s="8" t="str">
        <x:v>app_recommendations_v3</x:v>
      </x:c>
      <x:c r="L80" s="8" t="str">
        <x:v>2</x:v>
      </x:c>
      <x:c r="M80" s="11" t="str">
        <x:v>act_fert_ref_medium</x:v>
      </x:c>
      <x:c r="N80" s="11" t="n">
        <x:v>2</x:v>
      </x:c>
      <x:c r="O80" s="11" t="str">
        <x:v>2026-07-29.1</x:v>
      </x:c>
      <x:c r="P80" s="11" t="str">
        <x:v>source_verified</x:v>
      </x:c>
      <x:c r="Q80" s="11" t="str"/>
      <x:c r="R80" s="11" t="str"/>
    </x:row>
    <x:row r="81" ht="48" customHeight="1">
      <x:c r="A81" s="8" t="str">
        <x:v>act_fert_split_load.01</x:v>
      </x:c>
      <x:c r="B81" s="8" t="str">
        <x:v>act_fert_split_load</x:v>
      </x:c>
      <x:c r="C81" s="8" t="n">
        <x:v>1</x:v>
      </x:c>
      <x:c r="D81" s="8" t="str">
        <x:v>recommendation</x:v>
      </x:c>
      <x:c r="E81" s="11" t="str">
        <x:v>posture</x:v>
      </x:c>
      <x:c r="F81" s="11" t="str">
        <x:v>any</x:v>
      </x:c>
      <x:c r="G81" s="11" t="str">
        <x:v>any</x:v>
      </x:c>
      <x:c r="H81" s="11" t="str">
        <x:v>any</x:v>
      </x:c>
      <x:c r="I81" s="11" t="str">
        <x:v>selection_key_selected</x:v>
      </x:c>
      <x:c r="J81" s="11" t="str">
        <x:v>แบ่งปุ๋ยเป็นน้ำหนักน้อยลงในแต่ละรอบ</x:v>
      </x:c>
      <x:c r="K81" s="8" t="str">
        <x:v>app_recommendations_v3</x:v>
      </x:c>
      <x:c r="L81" s="8" t="str">
        <x:v>2</x:v>
      </x:c>
      <x:c r="M81" s="11" t="str">
        <x:v>Fertilizing</x:v>
      </x:c>
      <x:c r="N81" s="11" t="n">
        <x:v>2</x:v>
      </x:c>
      <x:c r="O81" s="11" t="str">
        <x:v>2026-07-29.1</x:v>
      </x:c>
      <x:c r="P81" s="11" t="str">
        <x:v>source_verified</x:v>
      </x:c>
      <x:c r="Q81" s="11" t="str">
        <x:v>แบ่งปุ๋ยเป็นน้ำหนักน้อยลงในแต่ละรอบ</x:v>
      </x:c>
      <x:c r="R81" s="11" t="str">
        <x:v>Split fertilizer into smaller loads per round</x:v>
      </x:c>
    </x:row>
    <x:row r="82" ht="48" customHeight="1">
      <x:c r="A82" s="8" t="str">
        <x:v>act_harvest_empty_often.01</x:v>
      </x:c>
      <x:c r="B82" s="8" t="str">
        <x:v>act_harvest_empty_often</x:v>
      </x:c>
      <x:c r="C82" s="8" t="n">
        <x:v>1</x:v>
      </x:c>
      <x:c r="D82" s="8" t="str">
        <x:v>recommendation</x:v>
      </x:c>
      <x:c r="E82" s="11" t="str">
        <x:v>posture</x:v>
      </x:c>
      <x:c r="F82" s="11" t="str">
        <x:v>any</x:v>
      </x:c>
      <x:c r="G82" s="11" t="str">
        <x:v>any</x:v>
      </x:c>
      <x:c r="H82" s="11" t="str">
        <x:v>any</x:v>
      </x:c>
      <x:c r="I82" s="11" t="str">
        <x:v>selection_key_selected</x:v>
      </x:c>
      <x:c r="J82" s="11" t="str">
        <x:v>ลดการก้มโดยปรับความสูงตะกร้า</x:v>
      </x:c>
      <x:c r="K82" s="8" t="str">
        <x:v>app_recommendations_v3</x:v>
      </x:c>
      <x:c r="L82" s="8" t="str">
        <x:v>2</x:v>
      </x:c>
      <x:c r="M82" s="11" t="str">
        <x:v>Harvesting</x:v>
      </x:c>
      <x:c r="N82" s="11" t="n">
        <x:v>2</x:v>
      </x:c>
      <x:c r="O82" s="11" t="str">
        <x:v>2026-07-29.1</x:v>
      </x:c>
      <x:c r="P82" s="11" t="str">
        <x:v>source_verified</x:v>
      </x:c>
      <x:c r="Q82" s="11" t="str">
        <x:v>เทผลผลิตออกจากตะกร้าให้บ่อยขึ้น เพื่อลดน้ำหนักสะสม</x:v>
      </x:c>
      <x:c r="R82" s="11" t="str">
        <x:v>Empty the basket more often to reduce accumulated carrying load</x:v>
      </x:c>
    </x:row>
    <x:row r="83" ht="48" customHeight="1">
      <x:c r="A83" s="8" t="str">
        <x:v>act_harvest_move_closer.01</x:v>
      </x:c>
      <x:c r="B83" s="8" t="str">
        <x:v>act_harvest_move_closer</x:v>
      </x:c>
      <x:c r="C83" s="8" t="n">
        <x:v>1</x:v>
      </x:c>
      <x:c r="D83" s="8" t="str">
        <x:v>recommendation</x:v>
      </x:c>
      <x:c r="E83" s="11" t="str">
        <x:v>posture</x:v>
      </x:c>
      <x:c r="F83" s="11" t="str">
        <x:v>any</x:v>
      </x:c>
      <x:c r="G83" s="11" t="str">
        <x:v>any</x:v>
      </x:c>
      <x:c r="H83" s="11" t="str">
        <x:v>any</x:v>
      </x:c>
      <x:c r="I83" s="11" t="str">
        <x:v>selection_key_selected</x:v>
      </x:c>
      <x:c r="J83" s="11" t="str">
        <x:v>ขยับเข้าใกล้ต้นก่อนเก็บ เพื่อลดการเอื้อมไกล</x:v>
      </x:c>
      <x:c r="K83" s="8" t="str">
        <x:v>body_map_recommendations</x:v>
      </x:c>
      <x:c r="L83" s="8" t="str">
        <x:v>4</x:v>
      </x:c>
      <x:c r="M83" s="11" t="str">
        <x:v>Reach distance</x:v>
      </x:c>
      <x:c r="N83" s="11" t="n">
        <x:v>1</x:v>
      </x:c>
      <x:c r="O83" s="11" t="str">
        <x:v>2026-07-29.1</x:v>
      </x:c>
      <x:c r="P83" s="11" t="str">
        <x:v>source_verified</x:v>
      </x:c>
      <x:c r="Q83" s="11" t="str">
        <x:v>ขยับเข้าใกล้ต้นก่อนเก็บ เพื่อลดการเอื้อมไกล</x:v>
      </x:c>
      <x:c r="R83" s="11" t="str">
        <x:v>Move closer to the plant before picking instead of overreaching</x:v>
      </x:c>
    </x:row>
    <x:row r="84" ht="48" customHeight="1">
      <x:c r="A84" s="8" t="str">
        <x:v>act_harvest_ref_high.01</x:v>
      </x:c>
      <x:c r="B84" s="8" t="str">
        <x:v>act_harvest_ref_high</x:v>
      </x:c>
      <x:c r="C84" s="8" t="n">
        <x:v>1</x:v>
      </x:c>
      <x:c r="D84" s="8" t="str">
        <x:v>recommendation</x:v>
      </x:c>
      <x:c r="E84" s="11" t="str">
        <x:v>riskReduction</x:v>
      </x:c>
      <x:c r="F84" s="11" t="str">
        <x:v>harvesting</x:v>
      </x:c>
      <x:c r="G84" s="11" t="str">
        <x:v>any</x:v>
      </x:c>
      <x:c r="H84" s="11" t="str">
        <x:v>high</x:v>
      </x:c>
      <x:c r="I84" s="11" t="str">
        <x:v>activity_and_overall_risk_match</x:v>
      </x:c>
      <x:c r="J84" s="11" t="str">
        <x:v>ถ้าเก็บผลจากกิ่งสูงต้องใช้บันได</x:v>
      </x:c>
      <x:c r="K84" s="8" t="str">
        <x:v>app_recommendations_v3</x:v>
      </x:c>
      <x:c r="L84" s="8" t="str">
        <x:v>2</x:v>
      </x:c>
      <x:c r="M84" s="11" t="str">
        <x:v>act_harvest_ref_high</x:v>
      </x:c>
      <x:c r="N84" s="11" t="n">
        <x:v>2</x:v>
      </x:c>
      <x:c r="O84" s="11" t="str">
        <x:v>2026-07-29.1</x:v>
      </x:c>
      <x:c r="P84" s="11" t="str">
        <x:v>source_verified</x:v>
      </x:c>
      <x:c r="Q84" s="11" t="str">
        <x:v>ถ้าเก็บผลจากกิ่งสูงต้องใช้บันได หลีกเลี่ยงการปีน หยุดพัก 10 นาทีทุก 20 นาที และถ้ามีอาการปวดมือหรือหลังให้หยุดงานทันที</x:v>
      </x:c>
      <x:c r="R84" s="11" t="str">
        <x:v>Use a ladder for high branches, avoid climbing, rest 10 minutes every 20 minutes, and stop immediately if hand or back pain occurs.</x:v>
      </x:c>
    </x:row>
    <x:row r="85" ht="48" customHeight="1">
      <x:c r="A85" s="8" t="str">
        <x:v>act_harvest_ref_high.02</x:v>
      </x:c>
      <x:c r="B85" s="8" t="str">
        <x:v>act_harvest_ref_high</x:v>
      </x:c>
      <x:c r="C85" s="8" t="n">
        <x:v>2</x:v>
      </x:c>
      <x:c r="D85" s="8" t="str">
        <x:v>recommendation</x:v>
      </x:c>
      <x:c r="E85" s="11" t="str">
        <x:v>riskReduction</x:v>
      </x:c>
      <x:c r="F85" s="11" t="str">
        <x:v>harvesting</x:v>
      </x:c>
      <x:c r="G85" s="11" t="str">
        <x:v>any</x:v>
      </x:c>
      <x:c r="H85" s="11" t="str">
        <x:v>high</x:v>
      </x:c>
      <x:c r="I85" s="11" t="str">
        <x:v>activity_and_overall_risk_match</x:v>
      </x:c>
      <x:c r="J85" s="11" t="str">
        <x:v>หลีกเลี่ยงการปีน</x:v>
      </x:c>
      <x:c r="K85" s="8" t="str">
        <x:v>app_recommendations_v3</x:v>
      </x:c>
      <x:c r="L85" s="8" t="str">
        <x:v>2</x:v>
      </x:c>
      <x:c r="M85" s="11" t="str">
        <x:v>act_harvest_ref_high</x:v>
      </x:c>
      <x:c r="N85" s="11" t="n">
        <x:v>2</x:v>
      </x:c>
      <x:c r="O85" s="11" t="str">
        <x:v>2026-07-29.1</x:v>
      </x:c>
      <x:c r="P85" s="11" t="str">
        <x:v>source_verified</x:v>
      </x:c>
      <x:c r="Q85" s="11" t="str"/>
      <x:c r="R85" s="11" t="str"/>
    </x:row>
    <x:row r="86" ht="48" customHeight="1">
      <x:c r="A86" s="8" t="str">
        <x:v>act_harvest_ref_high.03</x:v>
      </x:c>
      <x:c r="B86" s="8" t="str">
        <x:v>act_harvest_ref_high</x:v>
      </x:c>
      <x:c r="C86" s="8" t="n">
        <x:v>3</x:v>
      </x:c>
      <x:c r="D86" s="8" t="str">
        <x:v>recommendation</x:v>
      </x:c>
      <x:c r="E86" s="11" t="str">
        <x:v>riskReduction</x:v>
      </x:c>
      <x:c r="F86" s="11" t="str">
        <x:v>harvesting</x:v>
      </x:c>
      <x:c r="G86" s="11" t="str">
        <x:v>any</x:v>
      </x:c>
      <x:c r="H86" s="11" t="str">
        <x:v>high</x:v>
      </x:c>
      <x:c r="I86" s="11" t="str">
        <x:v>activity_and_overall_risk_match</x:v>
      </x:c>
      <x:c r="J86" s="11" t="str">
        <x:v>หยุดพัก 10 นาทีทุก 20 นาที</x:v>
      </x:c>
      <x:c r="K86" s="8" t="str">
        <x:v>app_recommendations_v3</x:v>
      </x:c>
      <x:c r="L86" s="8" t="str">
        <x:v>2</x:v>
      </x:c>
      <x:c r="M86" s="11" t="str">
        <x:v>act_harvest_ref_high</x:v>
      </x:c>
      <x:c r="N86" s="11" t="n">
        <x:v>2</x:v>
      </x:c>
      <x:c r="O86" s="11" t="str">
        <x:v>2026-07-29.1</x:v>
      </x:c>
      <x:c r="P86" s="11" t="str">
        <x:v>source_verified</x:v>
      </x:c>
      <x:c r="Q86" s="11" t="str"/>
      <x:c r="R86" s="11" t="str"/>
    </x:row>
    <x:row r="87" ht="48" customHeight="1">
      <x:c r="A87" s="8" t="str">
        <x:v>act_harvest_ref_high.04</x:v>
      </x:c>
      <x:c r="B87" s="8" t="str">
        <x:v>act_harvest_ref_high</x:v>
      </x:c>
      <x:c r="C87" s="8" t="n">
        <x:v>4</x:v>
      </x:c>
      <x:c r="D87" s="8" t="str">
        <x:v>recommendation</x:v>
      </x:c>
      <x:c r="E87" s="11" t="str">
        <x:v>riskReduction</x:v>
      </x:c>
      <x:c r="F87" s="11" t="str">
        <x:v>harvesting</x:v>
      </x:c>
      <x:c r="G87" s="11" t="str">
        <x:v>any</x:v>
      </x:c>
      <x:c r="H87" s="11" t="str">
        <x:v>high</x:v>
      </x:c>
      <x:c r="I87" s="11" t="str">
        <x:v>activity_and_overall_risk_match</x:v>
      </x:c>
      <x:c r="J87" s="11" t="str">
        <x:v>ถ้ามีอาการปวดมือหรือหลังให้หยุดงานทันที</x:v>
      </x:c>
      <x:c r="K87" s="8" t="str">
        <x:v>app_recommendations_v3</x:v>
      </x:c>
      <x:c r="L87" s="8" t="str">
        <x:v>2</x:v>
      </x:c>
      <x:c r="M87" s="11" t="str">
        <x:v>act_harvest_ref_high</x:v>
      </x:c>
      <x:c r="N87" s="11" t="n">
        <x:v>2</x:v>
      </x:c>
      <x:c r="O87" s="11" t="str">
        <x:v>2026-07-29.1</x:v>
      </x:c>
      <x:c r="P87" s="11" t="str">
        <x:v>source_verified</x:v>
      </x:c>
      <x:c r="Q87" s="11" t="str"/>
      <x:c r="R87" s="11" t="str"/>
    </x:row>
    <x:row r="88" ht="48" customHeight="1">
      <x:c r="A88" s="8" t="str">
        <x:v>act_harvest_ref_low.01</x:v>
      </x:c>
      <x:c r="B88" s="8" t="str">
        <x:v>act_harvest_ref_low</x:v>
      </x:c>
      <x:c r="C88" s="8" t="n">
        <x:v>1</x:v>
      </x:c>
      <x:c r="D88" s="8" t="str">
        <x:v>recommendation</x:v>
      </x:c>
      <x:c r="E88" s="11" t="str">
        <x:v>riskReduction</x:v>
      </x:c>
      <x:c r="F88" s="11" t="str">
        <x:v>harvesting</x:v>
      </x:c>
      <x:c r="G88" s="11" t="str">
        <x:v>any</x:v>
      </x:c>
      <x:c r="H88" s="11" t="str">
        <x:v>low</x:v>
      </x:c>
      <x:c r="I88" s="11" t="str">
        <x:v>activity_and_overall_risk_match</x:v>
      </x:c>
      <x:c r="J88" s="11" t="str">
        <x:v>เปลี่ยนท่า ยืน-นั่งยอง ทุก 20 นาที</x:v>
      </x:c>
      <x:c r="K88" s="8" t="str">
        <x:v>app_recommendations_v3</x:v>
      </x:c>
      <x:c r="L88" s="8" t="str">
        <x:v>2</x:v>
      </x:c>
      <x:c r="M88" s="11" t="str">
        <x:v>act_harvest_ref_low</x:v>
      </x:c>
      <x:c r="N88" s="11" t="n">
        <x:v>2</x:v>
      </x:c>
      <x:c r="O88" s="11" t="str">
        <x:v>2026-07-29.1</x:v>
      </x:c>
      <x:c r="P88" s="11" t="str">
        <x:v>source_verified</x:v>
      </x:c>
      <x:c r="Q88" s="11" t="str">
        <x:v>เปลี่ยนท่า ยืน-นั่งยอง ทุก 20 นาที ใช้ถุงมือนุ่ม และตั้งตะกร้าบนแท่นสูง</x:v>
      </x:c>
      <x:c r="R88" s="11" t="str">
        <x:v>Change posture between standing and squatting every 20 minutes, use soft gloves, and place baskets on a raised stand.</x:v>
      </x:c>
    </x:row>
    <x:row r="89" ht="48" customHeight="1">
      <x:c r="A89" s="8" t="str">
        <x:v>act_harvest_ref_low.02</x:v>
      </x:c>
      <x:c r="B89" s="8" t="str">
        <x:v>act_harvest_ref_low</x:v>
      </x:c>
      <x:c r="C89" s="8" t="n">
        <x:v>2</x:v>
      </x:c>
      <x:c r="D89" s="8" t="str">
        <x:v>recommendation</x:v>
      </x:c>
      <x:c r="E89" s="11" t="str">
        <x:v>riskReduction</x:v>
      </x:c>
      <x:c r="F89" s="11" t="str">
        <x:v>harvesting</x:v>
      </x:c>
      <x:c r="G89" s="11" t="str">
        <x:v>any</x:v>
      </x:c>
      <x:c r="H89" s="11" t="str">
        <x:v>low</x:v>
      </x:c>
      <x:c r="I89" s="11" t="str">
        <x:v>activity_and_overall_risk_match</x:v>
      </x:c>
      <x:c r="J89" s="11" t="str">
        <x:v>ใช้ถุงมือนุ่ม และตั้งตะกร้าบนแท่นสูง</x:v>
      </x:c>
      <x:c r="K89" s="8" t="str">
        <x:v>app_recommendations_v3</x:v>
      </x:c>
      <x:c r="L89" s="8" t="str">
        <x:v>2</x:v>
      </x:c>
      <x:c r="M89" s="11" t="str">
        <x:v>act_harvest_ref_low</x:v>
      </x:c>
      <x:c r="N89" s="11" t="n">
        <x:v>2</x:v>
      </x:c>
      <x:c r="O89" s="11" t="str">
        <x:v>2026-07-29.1</x:v>
      </x:c>
      <x:c r="P89" s="11" t="str">
        <x:v>source_verified</x:v>
      </x:c>
      <x:c r="Q89" s="11" t="str"/>
      <x:c r="R89" s="11" t="str"/>
    </x:row>
    <x:row r="90" ht="48" customHeight="1">
      <x:c r="A90" s="8" t="str">
        <x:v>act_harvest_ref_medium.01</x:v>
      </x:c>
      <x:c r="B90" s="8" t="str">
        <x:v>act_harvest_ref_medium</x:v>
      </x:c>
      <x:c r="C90" s="8" t="n">
        <x:v>1</x:v>
      </x:c>
      <x:c r="D90" s="8" t="str">
        <x:v>recommendation</x:v>
      </x:c>
      <x:c r="E90" s="11" t="str">
        <x:v>riskReduction</x:v>
      </x:c>
      <x:c r="F90" s="11" t="str">
        <x:v>harvesting</x:v>
      </x:c>
      <x:c r="G90" s="11" t="str">
        <x:v>any</x:v>
      </x:c>
      <x:c r="H90" s="11" t="str">
        <x:v>medium</x:v>
      </x:c>
      <x:c r="I90" s="11" t="str">
        <x:v>activity_and_overall_risk_match</x:v>
      </x:c>
      <x:c r="J90" s="11" t="str">
        <x:v>ใช้ถุงมือลดแรงกด</x:v>
      </x:c>
      <x:c r="K90" s="8" t="str">
        <x:v>app_recommendations_v3</x:v>
      </x:c>
      <x:c r="L90" s="8" t="str">
        <x:v>2</x:v>
      </x:c>
      <x:c r="M90" s="11" t="str">
        <x:v>act_harvest_ref_medium</x:v>
      </x:c>
      <x:c r="N90" s="11" t="n">
        <x:v>2</x:v>
      </x:c>
      <x:c r="O90" s="11" t="str">
        <x:v>2026-07-29.1</x:v>
      </x:c>
      <x:c r="P90" s="11" t="str">
        <x:v>source_verified</x:v>
      </x:c>
      <x:c r="Q90" s="11" t="str">
        <x:v>ใช้ถุงมือลดแรงกด ลดการก้มโดยปรับความสูงตะกร้า พัก 5 นาทีทุก 30 นาที และสังเกตอาการชาที่มือ</x:v>
      </x:c>
      <x:c r="R90" s="11" t="str">
        <x:v>Use padded gloves, reduce bending by raising the basket, rest 5 minutes every 30 minutes, and watch for hand numbness.</x:v>
      </x:c>
    </x:row>
    <x:row r="91" ht="48" customHeight="1">
      <x:c r="A91" s="8" t="str">
        <x:v>act_harvest_ref_medium.02</x:v>
      </x:c>
      <x:c r="B91" s="8" t="str">
        <x:v>act_harvest_ref_medium</x:v>
      </x:c>
      <x:c r="C91" s="8" t="n">
        <x:v>2</x:v>
      </x:c>
      <x:c r="D91" s="8" t="str">
        <x:v>recommendation</x:v>
      </x:c>
      <x:c r="E91" s="11" t="str">
        <x:v>riskReduction</x:v>
      </x:c>
      <x:c r="F91" s="11" t="str">
        <x:v>harvesting</x:v>
      </x:c>
      <x:c r="G91" s="11" t="str">
        <x:v>any</x:v>
      </x:c>
      <x:c r="H91" s="11" t="str">
        <x:v>medium</x:v>
      </x:c>
      <x:c r="I91" s="11" t="str">
        <x:v>activity_and_overall_risk_match</x:v>
      </x:c>
      <x:c r="J91" s="11" t="str">
        <x:v>ลดการก้มโดยปรับความสูงตะกร้า</x:v>
      </x:c>
      <x:c r="K91" s="8" t="str">
        <x:v>app_recommendations_v3</x:v>
      </x:c>
      <x:c r="L91" s="8" t="str">
        <x:v>2</x:v>
      </x:c>
      <x:c r="M91" s="11" t="str">
        <x:v>act_harvest_ref_medium</x:v>
      </x:c>
      <x:c r="N91" s="11" t="n">
        <x:v>2</x:v>
      </x:c>
      <x:c r="O91" s="11" t="str">
        <x:v>2026-07-29.1</x:v>
      </x:c>
      <x:c r="P91" s="11" t="str">
        <x:v>source_verified</x:v>
      </x:c>
      <x:c r="Q91" s="11" t="str"/>
      <x:c r="R91" s="11" t="str"/>
    </x:row>
    <x:row r="92" ht="48" customHeight="1">
      <x:c r="A92" s="8" t="str">
        <x:v>act_harvest_ref_medium.03</x:v>
      </x:c>
      <x:c r="B92" s="8" t="str">
        <x:v>act_harvest_ref_medium</x:v>
      </x:c>
      <x:c r="C92" s="8" t="n">
        <x:v>3</x:v>
      </x:c>
      <x:c r="D92" s="8" t="str">
        <x:v>recommendation</x:v>
      </x:c>
      <x:c r="E92" s="11" t="str">
        <x:v>riskReduction</x:v>
      </x:c>
      <x:c r="F92" s="11" t="str">
        <x:v>harvesting</x:v>
      </x:c>
      <x:c r="G92" s="11" t="str">
        <x:v>any</x:v>
      </x:c>
      <x:c r="H92" s="11" t="str">
        <x:v>medium</x:v>
      </x:c>
      <x:c r="I92" s="11" t="str">
        <x:v>activity_and_overall_risk_match</x:v>
      </x:c>
      <x:c r="J92" s="11" t="str">
        <x:v>พัก 5 นาทีทุก 30 นาที</x:v>
      </x:c>
      <x:c r="K92" s="8" t="str">
        <x:v>app_recommendations_v3</x:v>
      </x:c>
      <x:c r="L92" s="8" t="str">
        <x:v>2</x:v>
      </x:c>
      <x:c r="M92" s="11" t="str">
        <x:v>act_harvest_ref_medium</x:v>
      </x:c>
      <x:c r="N92" s="11" t="n">
        <x:v>2</x:v>
      </x:c>
      <x:c r="O92" s="11" t="str">
        <x:v>2026-07-29.1</x:v>
      </x:c>
      <x:c r="P92" s="11" t="str">
        <x:v>source_verified</x:v>
      </x:c>
      <x:c r="Q92" s="11" t="str"/>
      <x:c r="R92" s="11" t="str"/>
    </x:row>
    <x:row r="93" ht="48" customHeight="1">
      <x:c r="A93" s="8" t="str">
        <x:v>act_harvest_ref_medium.04</x:v>
      </x:c>
      <x:c r="B93" s="8" t="str">
        <x:v>act_harvest_ref_medium</x:v>
      </x:c>
      <x:c r="C93" s="8" t="n">
        <x:v>4</x:v>
      </x:c>
      <x:c r="D93" s="8" t="str">
        <x:v>recommendation</x:v>
      </x:c>
      <x:c r="E93" s="11" t="str">
        <x:v>riskReduction</x:v>
      </x:c>
      <x:c r="F93" s="11" t="str">
        <x:v>harvesting</x:v>
      </x:c>
      <x:c r="G93" s="11" t="str">
        <x:v>any</x:v>
      </x:c>
      <x:c r="H93" s="11" t="str">
        <x:v>medium</x:v>
      </x:c>
      <x:c r="I93" s="11" t="str">
        <x:v>activity_and_overall_risk_match</x:v>
      </x:c>
      <x:c r="J93" s="11" t="str">
        <x:v>สังเกตอาการชาที่มือ</x:v>
      </x:c>
      <x:c r="K93" s="8" t="str">
        <x:v>app_recommendations_v3</x:v>
      </x:c>
      <x:c r="L93" s="8" t="str">
        <x:v>2</x:v>
      </x:c>
      <x:c r="M93" s="11" t="str">
        <x:v>act_harvest_ref_medium</x:v>
      </x:c>
      <x:c r="N93" s="11" t="n">
        <x:v>2</x:v>
      </x:c>
      <x:c r="O93" s="11" t="str">
        <x:v>2026-07-29.1</x:v>
      </x:c>
      <x:c r="P93" s="11" t="str">
        <x:v>source_verified</x:v>
      </x:c>
      <x:c r="Q93" s="11" t="str"/>
      <x:c r="R93" s="11" t="str"/>
    </x:row>
    <x:row r="94" ht="48" customHeight="1">
      <x:c r="A94" s="8" t="str">
        <x:v>act_iso_floor_level.01</x:v>
      </x:c>
      <x:c r="B94" s="8" t="str">
        <x:v>act_iso_floor_level</x:v>
      </x:c>
      <x:c r="C94" s="8" t="n">
        <x:v>1</x:v>
      </x:c>
      <x:c r="D94" s="8" t="str">
        <x:v>recommendation</x:v>
      </x:c>
      <x:c r="E94" s="11" t="str">
        <x:v>posture</x:v>
      </x:c>
      <x:c r="F94" s="11" t="str">
        <x:v>any</x:v>
      </x:c>
      <x:c r="G94" s="11" t="str">
        <x:v>any</x:v>
      </x:c>
      <x:c r="H94" s="11" t="str">
        <x:v>any</x:v>
      </x:c>
      <x:c r="I94" s="11" t="str">
        <x:v>selection_key_selected</x:v>
      </x:c>
      <x:c r="J94" s="11" t="str">
        <x:v>จัดพื้นทางเดินให้เรียบ แห้ง ไม่ลื่น และไม่มีสิ่งกีดขวาง</x:v>
      </x:c>
      <x:c r="K94" s="8" t="str">
        <x:v>ilo_ergonomic_checkpoints_agriculture</x:v>
      </x:c>
      <x:c r="L94" s="8" t="str">
        <x:v>29,31</x:v>
      </x:c>
      <x:c r="M94" s="11" t="str">
        <x:v>Checkpoints 1-2</x:v>
      </x:c>
      <x:c r="N94" s="11" t="n">
        <x:v>3</x:v>
      </x:c>
      <x:c r="O94" s="11" t="str">
        <x:v>2026-07-29.1</x:v>
      </x:c>
      <x:c r="P94" s="11" t="str">
        <x:v>source_verified</x:v>
      </x:c>
      <x:c r="Q94" s="11" t="str">
        <x:v>จัดพื้นทางเดินให้เรียบ แห้ง ไม่ลื่น และไม่มีสิ่งกีดขวาง</x:v>
      </x:c>
      <x:c r="R94" s="11" t="str">
        <x:v>Keep floors firm, level, dry, and clear of obstacles</x:v>
      </x:c>
    </x:row>
    <x:row r="95" ht="48" customHeight="1">
      <x:c r="A95" s="8" t="str">
        <x:v>act_iso_improve_grip.01</x:v>
      </x:c>
      <x:c r="B95" s="8" t="str">
        <x:v>act_iso_improve_grip</x:v>
      </x:c>
      <x:c r="C95" s="8" t="n">
        <x:v>1</x:v>
      </x:c>
      <x:c r="D95" s="8" t="str">
        <x:v>recommendation</x:v>
      </x:c>
      <x:c r="E95" s="11" t="str">
        <x:v>posture</x:v>
      </x:c>
      <x:c r="F95" s="11" t="str">
        <x:v>any</x:v>
      </x:c>
      <x:c r="G95" s="11" t="str">
        <x:v>any</x:v>
      </x:c>
      <x:c r="H95" s="11" t="str">
        <x:v>any</x:v>
      </x:c>
      <x:c r="I95" s="11" t="str">
        <x:v>selection_key_selected</x:v>
      </x:c>
      <x:c r="J95" s="11" t="str">
        <x:v>ใช้ภาชนะหรือด้ามจับที่จับได้ถนัดและมั่นคง</x:v>
      </x:c>
      <x:c r="K95" s="8" t="str">
        <x:v>ilo_ergonomic_checkpoints_agriculture</x:v>
      </x:c>
      <x:c r="L95" s="8" t="str">
        <x:v>79</x:v>
      </x:c>
      <x:c r="M95" s="11" t="str">
        <x:v>Checkpoint 25</x:v>
      </x:c>
      <x:c r="N95" s="11" t="n">
        <x:v>3</x:v>
      </x:c>
      <x:c r="O95" s="11" t="str">
        <x:v>2026-07-29.1</x:v>
      </x:c>
      <x:c r="P95" s="11" t="str">
        <x:v>source_verified</x:v>
      </x:c>
      <x:c r="Q95" s="11" t="str">
        <x:v>ใช้ภาชนะหรือด้ามจับที่จับได้ถนัดและมั่นคง</x:v>
      </x:c>
      <x:c r="R95" s="11" t="str">
        <x:v>Use containers or handles that are easy to grip securely</x:v>
      </x:c>
    </x:row>
    <x:row r="96" ht="48" customHeight="1">
      <x:c r="A96" s="8" t="str">
        <x:v>act_iso_job_rotation.01</x:v>
      </x:c>
      <x:c r="B96" s="8" t="str">
        <x:v>act_iso_job_rotation</x:v>
      </x:c>
      <x:c r="C96" s="8" t="n">
        <x:v>1</x:v>
      </x:c>
      <x:c r="D96" s="8" t="str">
        <x:v>recommendation</x:v>
      </x:c>
      <x:c r="E96" s="11" t="str">
        <x:v>restRotation</x:v>
      </x:c>
      <x:c r="F96" s="11" t="str">
        <x:v>any</x:v>
      </x:c>
      <x:c r="G96" s="11" t="str">
        <x:v>any</x:v>
      </x:c>
      <x:c r="H96" s="11" t="str">
        <x:v>any</x:v>
      </x:c>
      <x:c r="I96" s="11" t="str">
        <x:v>selection_key_selected</x:v>
      </x:c>
      <x:c r="J96" s="11" t="str">
        <x:v>สลับงานเพื่อลดการใช้กล้ามเนื้อกลุ่มเดิมต่อเนื่องนานเกินไป</x:v>
      </x:c>
      <x:c r="K96" s="8" t="str">
        <x:v>ilo_ergonomic_checkpoints_agriculture</x:v>
      </x:c>
      <x:c r="L96" s="8" t="str">
        <x:v>229</x:v>
      </x:c>
      <x:c r="M96" s="11" t="str">
        <x:v>Checkpoint 92</x:v>
      </x:c>
      <x:c r="N96" s="11" t="n">
        <x:v>3</x:v>
      </x:c>
      <x:c r="O96" s="11" t="str">
        <x:v>2026-07-29.1</x:v>
      </x:c>
      <x:c r="P96" s="11" t="str">
        <x:v>source_verified</x:v>
      </x:c>
      <x:c r="Q96" s="11" t="str">
        <x:v>สลับงานเพื่อลดการใช้กล้ามเนื้อกลุ่มเดิมต่อเนื่องนานเกินไป</x:v>
      </x:c>
      <x:c r="R96" s="11" t="str">
        <x:v>Rotate tasks so the same muscles are not used continuously</x:v>
      </x:c>
    </x:row>
    <x:row r="97" ht="48" customHeight="1">
      <x:c r="A97" s="8" t="str">
        <x:v>act_iso_keep_load_close.01</x:v>
      </x:c>
      <x:c r="B97" s="8" t="str">
        <x:v>act_iso_keep_load_close</x:v>
      </x:c>
      <x:c r="C97" s="8" t="n">
        <x:v>1</x:v>
      </x:c>
      <x:c r="D97" s="8" t="str">
        <x:v>recommendation</x:v>
      </x:c>
      <x:c r="E97" s="11" t="str">
        <x:v>posture</x:v>
      </x:c>
      <x:c r="F97" s="11" t="str">
        <x:v>any</x:v>
      </x:c>
      <x:c r="G97" s="11" t="str">
        <x:v>any</x:v>
      </x:c>
      <x:c r="H97" s="11" t="str">
        <x:v>any</x:v>
      </x:c>
      <x:c r="I97" s="11" t="str">
        <x:v>selection_key_selected</x:v>
      </x:c>
      <x:c r="J97" s="11" t="str">
        <x:v>วางของให้ชิดลำตัวก่อนยกหรือขนย้าย</x:v>
      </x:c>
      <x:c r="K97" s="8" t="str">
        <x:v>ilo_ergonomic_checkpoints_agriculture</x:v>
      </x:c>
      <x:c r="L97" s="8" t="str">
        <x:v>51</x:v>
      </x:c>
      <x:c r="M97" s="11" t="str">
        <x:v>Checkpoint 12</x:v>
      </x:c>
      <x:c r="N97" s="11" t="n">
        <x:v>3</x:v>
      </x:c>
      <x:c r="O97" s="11" t="str">
        <x:v>2026-07-29.1</x:v>
      </x:c>
      <x:c r="P97" s="11" t="str">
        <x:v>source_verified</x:v>
      </x:c>
      <x:c r="Q97" s="11" t="str">
        <x:v>วางของให้ชิดลำตัวก่อนยกหรือขนย้าย</x:v>
      </x:c>
      <x:c r="R97" s="11" t="str">
        <x:v>Keep the load close to the body before lifting or carrying</x:v>
      </x:c>
    </x:row>
    <x:row r="98" ht="48" customHeight="1">
      <x:c r="A98" s="8" t="str">
        <x:v>act_iso_lift_height.01</x:v>
      </x:c>
      <x:c r="B98" s="8" t="str">
        <x:v>act_iso_lift_height</x:v>
      </x:c>
      <x:c r="C98" s="8" t="n">
        <x:v>1</x:v>
      </x:c>
      <x:c r="D98" s="8" t="str">
        <x:v>recommendation</x:v>
      </x:c>
      <x:c r="E98" s="11" t="str">
        <x:v>posture</x:v>
      </x:c>
      <x:c r="F98" s="11" t="str">
        <x:v>any</x:v>
      </x:c>
      <x:c r="G98" s="11" t="str">
        <x:v>any</x:v>
      </x:c>
      <x:c r="H98" s="11" t="str">
        <x:v>any</x:v>
      </x:c>
      <x:c r="I98" s="11" t="str">
        <x:v>selection_key_selected</x:v>
      </x:c>
      <x:c r="J98" s="11" t="str">
        <x:v>จัดของให้อยู่ระดับประมาณข้อนิ้วถึงข้อศอกก่อนยก</x:v>
      </x:c>
      <x:c r="K98" s="8" t="str">
        <x:v>app_recommendations_v3</x:v>
      </x:c>
      <x:c r="L98" s="8" t="str">
        <x:v>4</x:v>
      </x:c>
      <x:c r="M98" s="11" t="str">
        <x:v>ISO 11228-1 mapping</x:v>
      </x:c>
      <x:c r="N98" s="11" t="n">
        <x:v>2</x:v>
      </x:c>
      <x:c r="O98" s="11" t="str">
        <x:v>2026-07-29.1</x:v>
      </x:c>
      <x:c r="P98" s="11" t="str">
        <x:v>source_verified</x:v>
      </x:c>
      <x:c r="Q98" s="11" t="str">
        <x:v>จัดของให้อยู่ระดับประมาณข้อนิ้วถึงข้อศอกก่อนยก</x:v>
      </x:c>
      <x:c r="R98" s="11" t="str">
        <x:v>Place the load around knuckle-to-elbow height before lifting</x:v>
      </x:c>
    </x:row>
    <x:row r="99" ht="48" customHeight="1">
      <x:c r="A99" s="8" t="str">
        <x:v>act_iso_neutral_reach.01</x:v>
      </x:c>
      <x:c r="B99" s="8" t="str">
        <x:v>act_iso_neutral_reach</x:v>
      </x:c>
      <x:c r="C99" s="8" t="n">
        <x:v>1</x:v>
      </x:c>
      <x:c r="D99" s="8" t="str">
        <x:v>recommendation</x:v>
      </x:c>
      <x:c r="E99" s="11" t="str">
        <x:v>posture</x:v>
      </x:c>
      <x:c r="F99" s="11" t="str">
        <x:v>any</x:v>
      </x:c>
      <x:c r="G99" s="11" t="str">
        <x:v>any</x:v>
      </x:c>
      <x:c r="H99" s="11" t="str">
        <x:v>any</x:v>
      </x:c>
      <x:c r="I99" s="11" t="str">
        <x:v>selection_key_selected</x:v>
      </x:c>
      <x:c r="J99" s="11" t="str">
        <x:v>ทำงานใกล้ลำตัว</x:v>
      </x:c>
      <x:c r="K99" s="8" t="str">
        <x:v>ilo_ergonomic_checkpoints_agriculture</x:v>
      </x:c>
      <x:c r="L99" s="8" t="str">
        <x:v>51,65</x:v>
      </x:c>
      <x:c r="M99" s="11" t="str">
        <x:v>Checkpoints 12 and 18</x:v>
      </x:c>
      <x:c r="N99" s="11" t="n">
        <x:v>3</x:v>
      </x:c>
      <x:c r="O99" s="11" t="str">
        <x:v>2026-07-29.1</x:v>
      </x:c>
      <x:c r="P99" s="11" t="str">
        <x:v>source_verified</x:v>
      </x:c>
      <x:c r="Q99" s="11" t="str">
        <x:v>ทำงานใกล้ลำตัว ลดการเอื้อมไกลหรือขยับข้อไปสุดช่วง</x:v>
      </x:c>
      <x:c r="R99" s="11" t="str">
        <x:v>Keep hands near the body and avoid extreme reach or joint positions</x:v>
      </x:c>
    </x:row>
    <x:row r="100" ht="48" customHeight="1">
      <x:c r="A100" s="8" t="str">
        <x:v>act_iso_neutral_reach.02</x:v>
      </x:c>
      <x:c r="B100" s="8" t="str">
        <x:v>act_iso_neutral_reach</x:v>
      </x:c>
      <x:c r="C100" s="8" t="n">
        <x:v>2</x:v>
      </x:c>
      <x:c r="D100" s="8" t="str">
        <x:v>recommendation</x:v>
      </x:c>
      <x:c r="E100" s="11" t="str">
        <x:v>posture</x:v>
      </x:c>
      <x:c r="F100" s="11" t="str">
        <x:v>any</x:v>
      </x:c>
      <x:c r="G100" s="11" t="str">
        <x:v>any</x:v>
      </x:c>
      <x:c r="H100" s="11" t="str">
        <x:v>any</x:v>
      </x:c>
      <x:c r="I100" s="11" t="str">
        <x:v>selection_key_selected</x:v>
      </x:c>
      <x:c r="J100" s="11" t="str">
        <x:v>ลดการเอื้อมไกลหรือขยับข้อไปสุดช่วง</x:v>
      </x:c>
      <x:c r="K100" s="8" t="str">
        <x:v>ilo_ergonomic_checkpoints_agriculture</x:v>
      </x:c>
      <x:c r="L100" s="8" t="str">
        <x:v>51,65</x:v>
      </x:c>
      <x:c r="M100" s="11" t="str">
        <x:v>Checkpoints 12 and 18</x:v>
      </x:c>
      <x:c r="N100" s="11" t="n">
        <x:v>3</x:v>
      </x:c>
      <x:c r="O100" s="11" t="str">
        <x:v>2026-07-29.1</x:v>
      </x:c>
      <x:c r="P100" s="11" t="str">
        <x:v>source_verified</x:v>
      </x:c>
      <x:c r="Q100" s="11" t="str"/>
      <x:c r="R100" s="11" t="str"/>
    </x:row>
    <x:row r="101" ht="48" customHeight="1">
      <x:c r="A101" s="8" t="str">
        <x:v>act_iso_plan_recovery.01</x:v>
      </x:c>
      <x:c r="B101" s="8" t="str">
        <x:v>act_iso_plan_recovery</x:v>
      </x:c>
      <x:c r="C101" s="8" t="n">
        <x:v>1</x:v>
      </x:c>
      <x:c r="D101" s="8" t="str">
        <x:v>recommendation</x:v>
      </x:c>
      <x:c r="E101" s="11" t="str">
        <x:v>restRotation</x:v>
      </x:c>
      <x:c r="F101" s="11" t="str">
        <x:v>any</x:v>
      </x:c>
      <x:c r="G101" s="11" t="str">
        <x:v>any</x:v>
      </x:c>
      <x:c r="H101" s="11" t="str">
        <x:v>any</x:v>
      </x:c>
      <x:c r="I101" s="11" t="str">
        <x:v>selection_key_selected</x:v>
      </x:c>
      <x:c r="J101" s="11" t="str">
        <x:v>วางแผนพักสั้น ๆ หรือสลับงานเมื่อต้องทำซ้ำหลายรอบ</x:v>
      </x:c>
      <x:c r="K101" s="8" t="str">
        <x:v>ilo_ergonomic_checkpoints_agriculture</x:v>
      </x:c>
      <x:c r="L101" s="8" t="str">
        <x:v>243</x:v>
      </x:c>
      <x:c r="M101" s="11" t="str">
        <x:v>Checkpoint 99</x:v>
      </x:c>
      <x:c r="N101" s="11" t="n">
        <x:v>3</x:v>
      </x:c>
      <x:c r="O101" s="11" t="str">
        <x:v>2026-07-29.1</x:v>
      </x:c>
      <x:c r="P101" s="11" t="str">
        <x:v>source_verified</x:v>
      </x:c>
      <x:c r="Q101" s="11" t="str">
        <x:v>วางแผนพักสั้น ๆ หรือสลับงานเมื่อต้องทำซ้ำหลายรอบ</x:v>
      </x:c>
      <x:c r="R101" s="11" t="str">
        <x:v>Plan short recovery breaks or rotate tasks during repeated work</x:v>
      </x:c>
    </x:row>
    <x:row r="102" ht="48" customHeight="1">
      <x:c r="A102" s="8" t="str">
        <x:v>act_iso_push_handle_height.01</x:v>
      </x:c>
      <x:c r="B102" s="8" t="str">
        <x:v>act_iso_push_handle_height</x:v>
      </x:c>
      <x:c r="C102" s="8" t="n">
        <x:v>1</x:v>
      </x:c>
      <x:c r="D102" s="8" t="str">
        <x:v>recommendation</x:v>
      </x:c>
      <x:c r="E102" s="11" t="str">
        <x:v>posture</x:v>
      </x:c>
      <x:c r="F102" s="11" t="str">
        <x:v>any</x:v>
      </x:c>
      <x:c r="G102" s="11" t="str">
        <x:v>any</x:v>
      </x:c>
      <x:c r="H102" s="11" t="str">
        <x:v>any</x:v>
      </x:c>
      <x:c r="I102" s="11" t="str">
        <x:v>selection_key_selected</x:v>
      </x:c>
      <x:c r="J102" s="11" t="str">
        <x:v>ปรับด้ามจับให้อยู่ใกล้ระดับข้อศอก เพื่อใช้แรงได้มั่นคง</x:v>
      </x:c>
      <x:c r="K102" s="8" t="str">
        <x:v>ilo_ergonomic_checkpoints_agriculture</x:v>
      </x:c>
      <x:c r="L102" s="8" t="str">
        <x:v>63</x:v>
      </x:c>
      <x:c r="M102" s="11" t="str">
        <x:v>Checkpoint 17</x:v>
      </x:c>
      <x:c r="N102" s="11" t="n">
        <x:v>3</x:v>
      </x:c>
      <x:c r="O102" s="11" t="str">
        <x:v>2026-07-29.1</x:v>
      </x:c>
      <x:c r="P102" s="11" t="str">
        <x:v>source_verified</x:v>
      </x:c>
      <x:c r="Q102" s="11" t="str">
        <x:v>ปรับด้ามจับให้อยู่ใกล้ระดับข้อศอก เพื่อใช้แรงได้มั่นคง</x:v>
      </x:c>
      <x:c r="R102" s="11" t="str">
        <x:v>Adjust handles near elbow height so the body can push steadily</x:v>
      </x:c>
    </x:row>
    <x:row r="103" ht="48" customHeight="1">
      <x:c r="A103" s="8" t="str">
        <x:v>act_iso_push_not_pull.01</x:v>
      </x:c>
      <x:c r="B103" s="8" t="str">
        <x:v>act_iso_push_not_pull</x:v>
      </x:c>
      <x:c r="C103" s="8" t="n">
        <x:v>1</x:v>
      </x:c>
      <x:c r="D103" s="8" t="str">
        <x:v>recommendation</x:v>
      </x:c>
      <x:c r="E103" s="11" t="str">
        <x:v>posture</x:v>
      </x:c>
      <x:c r="F103" s="11" t="str">
        <x:v>any</x:v>
      </x:c>
      <x:c r="G103" s="11" t="str">
        <x:v>any</x:v>
      </x:c>
      <x:c r="H103" s="11" t="str">
        <x:v>any</x:v>
      </x:c>
      <x:c r="I103" s="11" t="str">
        <x:v>selection_key_selected</x:v>
      </x:c>
      <x:c r="J103" s="11" t="str">
        <x:v>ถ้าทำได้ให้ดันโดยใช้น้ำหนักตัว แทนการลากด้วยแรงแขน</x:v>
      </x:c>
      <x:c r="K103" s="8" t="str">
        <x:v>app_recommendations_v3</x:v>
      </x:c>
      <x:c r="L103" s="8" t="str">
        <x:v>5</x:v>
      </x:c>
      <x:c r="M103" s="11" t="str">
        <x:v>ISO 11228-2 posture principle</x:v>
      </x:c>
      <x:c r="N103" s="11" t="n">
        <x:v>2</x:v>
      </x:c>
      <x:c r="O103" s="11" t="str">
        <x:v>2026-07-29.1</x:v>
      </x:c>
      <x:c r="P103" s="11" t="str">
        <x:v>source_verified</x:v>
      </x:c>
      <x:c r="Q103" s="11" t="str">
        <x:v>ถ้าทำได้ให้ดันโดยใช้น้ำหนักตัว แทนการลากด้วยแรงแขน</x:v>
      </x:c>
      <x:c r="R103" s="11" t="str">
        <x:v>Push with body weight when possible instead of pulling with the arms</x:v>
      </x:c>
    </x:row>
    <x:row r="104" ht="48" customHeight="1">
      <x:c r="A104" s="8" t="str">
        <x:v>act_iso_push_smooth.01</x:v>
      </x:c>
      <x:c r="B104" s="8" t="str">
        <x:v>act_iso_push_smooth</x:v>
      </x:c>
      <x:c r="C104" s="8" t="n">
        <x:v>1</x:v>
      </x:c>
      <x:c r="D104" s="8" t="str">
        <x:v>recommendation</x:v>
      </x:c>
      <x:c r="E104" s="11" t="str">
        <x:v>posture</x:v>
      </x:c>
      <x:c r="F104" s="11" t="str">
        <x:v>any</x:v>
      </x:c>
      <x:c r="G104" s="11" t="str">
        <x:v>any</x:v>
      </x:c>
      <x:c r="H104" s="11" t="str">
        <x:v>any</x:v>
      </x:c>
      <x:c r="I104" s="11" t="str">
        <x:v>selection_key_selected</x:v>
      </x:c>
      <x:c r="J104" s="11" t="str">
        <x:v>ออกแรงดันหรือลากอย่างต่อเนื่อง ไม่กระชาก</x:v>
      </x:c>
      <x:c r="K104" s="8" t="str">
        <x:v>app_recommendations_v3</x:v>
      </x:c>
      <x:c r="L104" s="8" t="str">
        <x:v>5</x:v>
      </x:c>
      <x:c r="M104" s="11" t="str">
        <x:v>ISO 11228-2 mapping</x:v>
      </x:c>
      <x:c r="N104" s="11" t="n">
        <x:v>2</x:v>
      </x:c>
      <x:c r="O104" s="11" t="str">
        <x:v>2026-07-29.1</x:v>
      </x:c>
      <x:c r="P104" s="11" t="str">
        <x:v>source_verified</x:v>
      </x:c>
      <x:c r="Q104" s="11" t="str">
        <x:v>ออกแรงดันหรือลากอย่างต่อเนื่อง ไม่กระชาก</x:v>
      </x:c>
      <x:c r="R104" s="11" t="str">
        <x:v>Push or pull smoothly and avoid sudden jerking force</x:v>
      </x:c>
    </x:row>
    <x:row r="105" ht="48" customHeight="1">
      <x:c r="A105" s="8" t="str">
        <x:v>act_iso_reduce_frequency.01</x:v>
      </x:c>
      <x:c r="B105" s="8" t="str">
        <x:v>act_iso_reduce_frequency</x:v>
      </x:c>
      <x:c r="C105" s="8" t="n">
        <x:v>1</x:v>
      </x:c>
      <x:c r="D105" s="8" t="str">
        <x:v>recommendation</x:v>
      </x:c>
      <x:c r="E105" s="11" t="str">
        <x:v>posture</x:v>
      </x:c>
      <x:c r="F105" s="11" t="str">
        <x:v>any</x:v>
      </x:c>
      <x:c r="G105" s="11" t="str">
        <x:v>any</x:v>
      </x:c>
      <x:c r="H105" s="11" t="str">
        <x:v>any</x:v>
      </x:c>
      <x:c r="I105" s="11" t="str">
        <x:v>selection_key_selected</x:v>
      </x:c>
      <x:c r="J105" s="11" t="str">
        <x:v>ลดความถี่ในการยก หรือแบ่งงานเป็นรอบสั้นลง</x:v>
      </x:c>
      <x:c r="K105" s="8" t="str">
        <x:v>body_map_recommendations</x:v>
      </x:c>
      <x:c r="L105" s="8" t="str">
        <x:v>4,8</x:v>
      </x:c>
      <x:c r="M105" s="11" t="str">
        <x:v>Reduce repeated lifting</x:v>
      </x:c>
      <x:c r="N105" s="11" t="n">
        <x:v>1</x:v>
      </x:c>
      <x:c r="O105" s="11" t="str">
        <x:v>2026-07-29.1</x:v>
      </x:c>
      <x:c r="P105" s="11" t="str">
        <x:v>source_verified</x:v>
      </x:c>
      <x:c r="Q105" s="11" t="str">
        <x:v>ลดความถี่ในการยก หรือแบ่งงานเป็นรอบสั้นลง</x:v>
      </x:c>
      <x:c r="R105" s="11" t="str">
        <x:v>Reduce lifting frequency or split the task into shorter rounds</x:v>
      </x:c>
    </x:row>
    <x:row r="106" ht="48" customHeight="1">
      <x:c r="A106" s="8" t="str">
        <x:v>act_iso_reduce_push_distance.01</x:v>
      </x:c>
      <x:c r="B106" s="8" t="str">
        <x:v>act_iso_reduce_push_distance</x:v>
      </x:c>
      <x:c r="C106" s="8" t="n">
        <x:v>1</x:v>
      </x:c>
      <x:c r="D106" s="8" t="str">
        <x:v>recommendation</x:v>
      </x:c>
      <x:c r="E106" s="11" t="str">
        <x:v>posture</x:v>
      </x:c>
      <x:c r="F106" s="11" t="str">
        <x:v>any</x:v>
      </x:c>
      <x:c r="G106" s="11" t="str">
        <x:v>any</x:v>
      </x:c>
      <x:c r="H106" s="11" t="str">
        <x:v>any</x:v>
      </x:c>
      <x:c r="I106" s="11" t="str">
        <x:v>selection_key_selected</x:v>
      </x:c>
      <x:c r="J106" s="11" t="str">
        <x:v>ลดระยะทางดัน/ลาก หรือแบ่งเส้นทางเป็นช่วงสั้นลง</x:v>
      </x:c>
      <x:c r="K106" s="8" t="str">
        <x:v>app_recommendations_v3</x:v>
      </x:c>
      <x:c r="L106" s="8" t="str">
        <x:v>5</x:v>
      </x:c>
      <x:c r="M106" s="11" t="str">
        <x:v>ISO 11228-2 distance principle</x:v>
      </x:c>
      <x:c r="N106" s="11" t="n">
        <x:v>2</x:v>
      </x:c>
      <x:c r="O106" s="11" t="str">
        <x:v>2026-07-29.1</x:v>
      </x:c>
      <x:c r="P106" s="11" t="str">
        <x:v>source_verified</x:v>
      </x:c>
      <x:c r="Q106" s="11" t="str">
        <x:v>ลดระยะทางดัน/ลาก หรือแบ่งเส้นทางเป็นช่วงสั้นลง</x:v>
      </x:c>
      <x:c r="R106" s="11" t="str">
        <x:v>Shorten push/pull distance or divide the route into shorter sections</x:v>
      </x:c>
    </x:row>
    <x:row r="107" ht="48" customHeight="1">
      <x:c r="A107" s="8" t="str">
        <x:v>act_iso_tool_handle_fit.01</x:v>
      </x:c>
      <x:c r="B107" s="8" t="str">
        <x:v>act_iso_tool_handle_fit</x:v>
      </x:c>
      <x:c r="C107" s="8" t="n">
        <x:v>1</x:v>
      </x:c>
      <x:c r="D107" s="8" t="str">
        <x:v>recommendation</x:v>
      </x:c>
      <x:c r="E107" s="11" t="str">
        <x:v>workloadSupport</x:v>
      </x:c>
      <x:c r="F107" s="11" t="str">
        <x:v>any</x:v>
      </x:c>
      <x:c r="G107" s="11" t="str">
        <x:v>any</x:v>
      </x:c>
      <x:c r="H107" s="11" t="str">
        <x:v>any</x:v>
      </x:c>
      <x:c r="I107" s="11" t="str">
        <x:v>selection_key_selected</x:v>
      </x:c>
      <x:c r="J107" s="11" t="str">
        <x:v>ใช้ด้ามจับที่ไม่ลื่น มีขนาดพอดีมือ</x:v>
      </x:c>
      <x:c r="K107" s="8" t="str">
        <x:v>ilo_ergonomic_checkpoints_agriculture</x:v>
      </x:c>
      <x:c r="L107" s="8" t="str">
        <x:v>79</x:v>
      </x:c>
      <x:c r="M107" s="11" t="str">
        <x:v>Checkpoint 25</x:v>
      </x:c>
      <x:c r="N107" s="11" t="n">
        <x:v>3</x:v>
      </x:c>
      <x:c r="O107" s="11" t="str">
        <x:v>2026-07-29.1</x:v>
      </x:c>
      <x:c r="P107" s="11" t="str">
        <x:v>source_verified</x:v>
      </x:c>
      <x:c r="Q107" s="11" t="str">
        <x:v>ใช้ด้ามจับที่ไม่ลื่น มีขนาดพอดีมือ และลดแรงบีบจับ</x:v>
      </x:c>
      <x:c r="R107" s="11" t="str">
        <x:v>Use padded, non-slip tool handles sized for a secure grip</x:v>
      </x:c>
    </x:row>
    <x:row r="108" ht="48" customHeight="1">
      <x:c r="A108" s="8" t="str">
        <x:v>act_iso_tool_handle_fit.02</x:v>
      </x:c>
      <x:c r="B108" s="8" t="str">
        <x:v>act_iso_tool_handle_fit</x:v>
      </x:c>
      <x:c r="C108" s="8" t="n">
        <x:v>2</x:v>
      </x:c>
      <x:c r="D108" s="8" t="str">
        <x:v>recommendation</x:v>
      </x:c>
      <x:c r="E108" s="11" t="str">
        <x:v>workloadSupport</x:v>
      </x:c>
      <x:c r="F108" s="11" t="str">
        <x:v>any</x:v>
      </x:c>
      <x:c r="G108" s="11" t="str">
        <x:v>any</x:v>
      </x:c>
      <x:c r="H108" s="11" t="str">
        <x:v>any</x:v>
      </x:c>
      <x:c r="I108" s="11" t="str">
        <x:v>selection_key_selected</x:v>
      </x:c>
      <x:c r="J108" s="11" t="str">
        <x:v>ลดแรงบีบจับ</x:v>
      </x:c>
      <x:c r="K108" s="8" t="str">
        <x:v>ilo_ergonomic_checkpoints_agriculture</x:v>
      </x:c>
      <x:c r="L108" s="8" t="str">
        <x:v>79</x:v>
      </x:c>
      <x:c r="M108" s="11" t="str">
        <x:v>Checkpoint 25</x:v>
      </x:c>
      <x:c r="N108" s="11" t="n">
        <x:v>3</x:v>
      </x:c>
      <x:c r="O108" s="11" t="str">
        <x:v>2026-07-29.1</x:v>
      </x:c>
      <x:c r="P108" s="11" t="str">
        <x:v>source_verified</x:v>
      </x:c>
      <x:c r="Q108" s="11" t="str"/>
      <x:c r="R108" s="11" t="str"/>
    </x:row>
    <x:row r="109" ht="48" customHeight="1">
      <x:c r="A109" s="8" t="str">
        <x:v>act_pesticide_ref_high.01</x:v>
      </x:c>
      <x:c r="B109" s="8" t="str">
        <x:v>act_pesticide_ref_high</x:v>
      </x:c>
      <x:c r="C109" s="8" t="n">
        <x:v>1</x:v>
      </x:c>
      <x:c r="D109" s="8" t="str">
        <x:v>recommendation</x:v>
      </x:c>
      <x:c r="E109" s="11" t="str">
        <x:v>riskReduction</x:v>
      </x:c>
      <x:c r="F109" s="11" t="str">
        <x:v>pesticide</x:v>
      </x:c>
      <x:c r="G109" s="11" t="str">
        <x:v>any</x:v>
      </x:c>
      <x:c r="H109" s="11" t="str">
        <x:v>high</x:v>
      </x:c>
      <x:c r="I109" s="11" t="str">
        <x:v>activity_and_overall_risk_match</x:v>
      </x:c>
      <x:c r="J109" s="11" t="str">
        <x:v>ถ้าถังพ่นหนักเกินน้ำหนักที่แนะนำ ให้ใช้อุปกรณ์ล้อเข็นหรือหัวฉีดแบบต่อท่อยาว</x:v>
      </x:c>
      <x:c r="K109" s="8" t="str">
        <x:v>app_recommendations_v3</x:v>
      </x:c>
      <x:c r="L109" s="8" t="str">
        <x:v>2</x:v>
      </x:c>
      <x:c r="M109" s="11" t="str">
        <x:v>act_pesticide_ref_high</x:v>
      </x:c>
      <x:c r="N109" s="11" t="n">
        <x:v>2</x:v>
      </x:c>
      <x:c r="O109" s="11" t="str">
        <x:v>2026-07-29.1</x:v>
      </x:c>
      <x:c r="P109" s="11" t="str">
        <x:v>source_verified</x:v>
      </x:c>
      <x:c r="Q109" s="11" t="str">
        <x:v>ถ้าถังพ่นหนักเกินน้ำหนักที่แนะนำ ให้ใช้อุปกรณ์ล้อเข็นหรือหัวฉีดแบบต่อท่อยาว และหมุนเวียนงานกับเพื่อนทุก 30 นาที</x:v>
      </x:c>
      <x:c r="R109" s="11" t="str">
        <x:v>If the sprayer tank exceeds the recommended weight, use a wheeled aid or long-hose nozzle and rotate with a coworker every 30 minutes.</x:v>
      </x:c>
    </x:row>
    <x:row r="110" ht="48" customHeight="1">
      <x:c r="A110" s="8" t="str">
        <x:v>act_pesticide_ref_high.02</x:v>
      </x:c>
      <x:c r="B110" s="8" t="str">
        <x:v>act_pesticide_ref_high</x:v>
      </x:c>
      <x:c r="C110" s="8" t="n">
        <x:v>2</x:v>
      </x:c>
      <x:c r="D110" s="8" t="str">
        <x:v>recommendation</x:v>
      </x:c>
      <x:c r="E110" s="11" t="str">
        <x:v>riskReduction</x:v>
      </x:c>
      <x:c r="F110" s="11" t="str">
        <x:v>pesticide</x:v>
      </x:c>
      <x:c r="G110" s="11" t="str">
        <x:v>any</x:v>
      </x:c>
      <x:c r="H110" s="11" t="str">
        <x:v>high</x:v>
      </x:c>
      <x:c r="I110" s="11" t="str">
        <x:v>activity_and_overall_risk_match</x:v>
      </x:c>
      <x:c r="J110" s="11" t="str">
        <x:v>หมุนเวียนงานกับเพื่อนทุก 30 นาที</x:v>
      </x:c>
      <x:c r="K110" s="8" t="str">
        <x:v>app_recommendations_v3</x:v>
      </x:c>
      <x:c r="L110" s="8" t="str">
        <x:v>2</x:v>
      </x:c>
      <x:c r="M110" s="11" t="str">
        <x:v>act_pesticide_ref_high</x:v>
      </x:c>
      <x:c r="N110" s="11" t="n">
        <x:v>2</x:v>
      </x:c>
      <x:c r="O110" s="11" t="str">
        <x:v>2026-07-29.1</x:v>
      </x:c>
      <x:c r="P110" s="11" t="str">
        <x:v>source_verified</x:v>
      </x:c>
      <x:c r="Q110" s="11" t="str"/>
      <x:c r="R110" s="11" t="str"/>
    </x:row>
    <x:row r="111" ht="48" customHeight="1">
      <x:c r="A111" s="8" t="str">
        <x:v>act_pesticide_ref_low.01</x:v>
      </x:c>
      <x:c r="B111" s="8" t="str">
        <x:v>act_pesticide_ref_low</x:v>
      </x:c>
      <x:c r="C111" s="8" t="n">
        <x:v>1</x:v>
      </x:c>
      <x:c r="D111" s="8" t="str">
        <x:v>recommendation</x:v>
      </x:c>
      <x:c r="E111" s="11" t="str">
        <x:v>riskReduction</x:v>
      </x:c>
      <x:c r="F111" s="11" t="str">
        <x:v>pesticide</x:v>
      </x:c>
      <x:c r="G111" s="11" t="str">
        <x:v>any</x:v>
      </x:c>
      <x:c r="H111" s="11" t="str">
        <x:v>low</x:v>
      </x:c>
      <x:c r="I111" s="11" t="str">
        <x:v>activity_and_overall_risk_match</x:v>
      </x:c>
      <x:c r="J111" s="11" t="str">
        <x:v>ปรับสายสะพายเครื่องพ่นให้พอดี</x:v>
      </x:c>
      <x:c r="K111" s="8" t="str">
        <x:v>app_recommendations_v3</x:v>
      </x:c>
      <x:c r="L111" s="8" t="str">
        <x:v>2</x:v>
      </x:c>
      <x:c r="M111" s="11" t="str">
        <x:v>act_pesticide_ref_low</x:v>
      </x:c>
      <x:c r="N111" s="11" t="n">
        <x:v>2</x:v>
      </x:c>
      <x:c r="O111" s="11" t="str">
        <x:v>2026-07-29.1</x:v>
      </x:c>
      <x:c r="P111" s="11" t="str">
        <x:v>source_verified</x:v>
      </x:c>
      <x:c r="Q111" s="11" t="str">
        <x:v>ปรับสายสะพายเครื่องพ่นให้พอดี ใช้หัวฉีดน้ำหนักเบา และพัก 5 นาทีทุกชั่วโมง</x:v>
      </x:c>
      <x:c r="R111" s="11" t="str">
        <x:v>Fit sprayer straps properly, use a lightweight nozzle, and rest 5 minutes every hour.</x:v>
      </x:c>
    </x:row>
    <x:row r="112" ht="48" customHeight="1">
      <x:c r="A112" s="8" t="str">
        <x:v>act_pesticide_ref_low.02</x:v>
      </x:c>
      <x:c r="B112" s="8" t="str">
        <x:v>act_pesticide_ref_low</x:v>
      </x:c>
      <x:c r="C112" s="8" t="n">
        <x:v>2</x:v>
      </x:c>
      <x:c r="D112" s="8" t="str">
        <x:v>recommendation</x:v>
      </x:c>
      <x:c r="E112" s="11" t="str">
        <x:v>riskReduction</x:v>
      </x:c>
      <x:c r="F112" s="11" t="str">
        <x:v>pesticide</x:v>
      </x:c>
      <x:c r="G112" s="11" t="str">
        <x:v>any</x:v>
      </x:c>
      <x:c r="H112" s="11" t="str">
        <x:v>low</x:v>
      </x:c>
      <x:c r="I112" s="11" t="str">
        <x:v>activity_and_overall_risk_match</x:v>
      </x:c>
      <x:c r="J112" s="11" t="str">
        <x:v>ใช้หัวฉีดน้ำหนักเบา</x:v>
      </x:c>
      <x:c r="K112" s="8" t="str">
        <x:v>app_recommendations_v3</x:v>
      </x:c>
      <x:c r="L112" s="8" t="str">
        <x:v>2</x:v>
      </x:c>
      <x:c r="M112" s="11" t="str">
        <x:v>act_pesticide_ref_low</x:v>
      </x:c>
      <x:c r="N112" s="11" t="n">
        <x:v>2</x:v>
      </x:c>
      <x:c r="O112" s="11" t="str">
        <x:v>2026-07-29.1</x:v>
      </x:c>
      <x:c r="P112" s="11" t="str">
        <x:v>source_verified</x:v>
      </x:c>
      <x:c r="Q112" s="11" t="str"/>
      <x:c r="R112" s="11" t="str"/>
    </x:row>
    <x:row r="113" ht="48" customHeight="1">
      <x:c r="A113" s="8" t="str">
        <x:v>act_pesticide_ref_low.03</x:v>
      </x:c>
      <x:c r="B113" s="8" t="str">
        <x:v>act_pesticide_ref_low</x:v>
      </x:c>
      <x:c r="C113" s="8" t="n">
        <x:v>3</x:v>
      </x:c>
      <x:c r="D113" s="8" t="str">
        <x:v>recommendation</x:v>
      </x:c>
      <x:c r="E113" s="11" t="str">
        <x:v>riskReduction</x:v>
      </x:c>
      <x:c r="F113" s="11" t="str">
        <x:v>pesticide</x:v>
      </x:c>
      <x:c r="G113" s="11" t="str">
        <x:v>any</x:v>
      </x:c>
      <x:c r="H113" s="11" t="str">
        <x:v>low</x:v>
      </x:c>
      <x:c r="I113" s="11" t="str">
        <x:v>activity_and_overall_risk_match</x:v>
      </x:c>
      <x:c r="J113" s="11" t="str">
        <x:v>พัก 5 นาทีทุกชั่วโมง</x:v>
      </x:c>
      <x:c r="K113" s="8" t="str">
        <x:v>app_recommendations_v3</x:v>
      </x:c>
      <x:c r="L113" s="8" t="str">
        <x:v>2</x:v>
      </x:c>
      <x:c r="M113" s="11" t="str">
        <x:v>act_pesticide_ref_low</x:v>
      </x:c>
      <x:c r="N113" s="11" t="n">
        <x:v>2</x:v>
      </x:c>
      <x:c r="O113" s="11" t="str">
        <x:v>2026-07-29.1</x:v>
      </x:c>
      <x:c r="P113" s="11" t="str">
        <x:v>source_verified</x:v>
      </x:c>
      <x:c r="Q113" s="11" t="str"/>
      <x:c r="R113" s="11" t="str"/>
    </x:row>
    <x:row r="114" ht="48" customHeight="1">
      <x:c r="A114" s="8" t="str">
        <x:v>act_pesticide_ref_medium.01</x:v>
      </x:c>
      <x:c r="B114" s="8" t="str">
        <x:v>act_pesticide_ref_medium</x:v>
      </x:c>
      <x:c r="C114" s="8" t="n">
        <x:v>1</x:v>
      </x:c>
      <x:c r="D114" s="8" t="str">
        <x:v>recommendation</x:v>
      </x:c>
      <x:c r="E114" s="11" t="str">
        <x:v>riskReduction</x:v>
      </x:c>
      <x:c r="F114" s="11" t="str">
        <x:v>pesticide</x:v>
      </x:c>
      <x:c r="G114" s="11" t="str">
        <x:v>any</x:v>
      </x:c>
      <x:c r="H114" s="11" t="str">
        <x:v>medium</x:v>
      </x:c>
      <x:c r="I114" s="11" t="str">
        <x:v>activity_and_overall_risk_match</x:v>
      </x:c>
      <x:c r="J114" s="11" t="str">
        <x:v>ลดระยะเวลาพ่นต่อเนื่องไม่เกิน 1 ชั่วโมง แล้วพัก 15 นาที</x:v>
      </x:c>
      <x:c r="K114" s="8" t="str">
        <x:v>app_recommendations_v3</x:v>
      </x:c>
      <x:c r="L114" s="8" t="str">
        <x:v>2</x:v>
      </x:c>
      <x:c r="M114" s="11" t="str">
        <x:v>act_pesticide_ref_medium</x:v>
      </x:c>
      <x:c r="N114" s="11" t="n">
        <x:v>2</x:v>
      </x:c>
      <x:c r="O114" s="11" t="str">
        <x:v>2026-07-29.1</x:v>
      </x:c>
      <x:c r="P114" s="11" t="str">
        <x:v>source_verified</x:v>
      </x:c>
      <x:c r="Q114" s="11" t="str">
        <x:v>ลดระยะเวลาพ่นต่อเนื่องไม่เกิน 1 ชั่วโมง แล้วพัก 15 นาที สลับข้างที่ถือท่อพ่น และใส่รองเท้ากันลื่น</x:v>
      </x:c>
      <x:c r="R114" s="11" t="str">
        <x:v>Limit continuous spraying to 1 hour, rest 15 minutes, switch the hand/side holding the wand, and wear non-slip footwear.</x:v>
      </x:c>
    </x:row>
    <x:row r="115" ht="48" customHeight="1">
      <x:c r="A115" s="8" t="str">
        <x:v>act_pesticide_ref_medium.02</x:v>
      </x:c>
      <x:c r="B115" s="8" t="str">
        <x:v>act_pesticide_ref_medium</x:v>
      </x:c>
      <x:c r="C115" s="8" t="n">
        <x:v>2</x:v>
      </x:c>
      <x:c r="D115" s="8" t="str">
        <x:v>recommendation</x:v>
      </x:c>
      <x:c r="E115" s="11" t="str">
        <x:v>riskReduction</x:v>
      </x:c>
      <x:c r="F115" s="11" t="str">
        <x:v>pesticide</x:v>
      </x:c>
      <x:c r="G115" s="11" t="str">
        <x:v>any</x:v>
      </x:c>
      <x:c r="H115" s="11" t="str">
        <x:v>medium</x:v>
      </x:c>
      <x:c r="I115" s="11" t="str">
        <x:v>activity_and_overall_risk_match</x:v>
      </x:c>
      <x:c r="J115" s="11" t="str">
        <x:v>สลับข้างที่ถือท่อพ่น และใส่รองเท้ากันลื่น</x:v>
      </x:c>
      <x:c r="K115" s="8" t="str">
        <x:v>app_recommendations_v3</x:v>
      </x:c>
      <x:c r="L115" s="8" t="str">
        <x:v>2</x:v>
      </x:c>
      <x:c r="M115" s="11" t="str">
        <x:v>act_pesticide_ref_medium</x:v>
      </x:c>
      <x:c r="N115" s="11" t="n">
        <x:v>2</x:v>
      </x:c>
      <x:c r="O115" s="11" t="str">
        <x:v>2026-07-29.1</x:v>
      </x:c>
      <x:c r="P115" s="11" t="str">
        <x:v>source_verified</x:v>
      </x:c>
      <x:c r="Q115" s="11" t="str"/>
      <x:c r="R115" s="11" t="str"/>
    </x:row>
    <x:row r="116" ht="48" customHeight="1">
      <x:c r="A116" s="8" t="str">
        <x:v>act_pruning_ref_high.01</x:v>
      </x:c>
      <x:c r="B116" s="8" t="str">
        <x:v>act_pruning_ref_high</x:v>
      </x:c>
      <x:c r="C116" s="8" t="n">
        <x:v>1</x:v>
      </x:c>
      <x:c r="D116" s="8" t="str">
        <x:v>recommendation</x:v>
      </x:c>
      <x:c r="E116" s="11" t="str">
        <x:v>riskReduction</x:v>
      </x:c>
      <x:c r="F116" s="11" t="str">
        <x:v>pruning</x:v>
      </x:c>
      <x:c r="G116" s="11" t="str">
        <x:v>any</x:v>
      </x:c>
      <x:c r="H116" s="11" t="str">
        <x:v>high</x:v>
      </x:c>
      <x:c r="I116" s="11" t="str">
        <x:v>activity_and_overall_risk_match</x:v>
      </x:c>
      <x:c r="J116" s="11" t="str">
        <x:v>เปลี่ยนมาใช้เครื่องตัดกิ่งแบบกลไกช่วย</x:v>
      </x:c>
      <x:c r="K116" s="8" t="str">
        <x:v>app_recommendations_v3</x:v>
      </x:c>
      <x:c r="L116" s="8" t="str">
        <x:v>2</x:v>
      </x:c>
      <x:c r="M116" s="11" t="str">
        <x:v>act_pruning_ref_high</x:v>
      </x:c>
      <x:c r="N116" s="11" t="n">
        <x:v>2</x:v>
      </x:c>
      <x:c r="O116" s="11" t="str">
        <x:v>2026-07-29.1</x:v>
      </x:c>
      <x:c r="P116" s="11" t="str">
        <x:v>source_verified</x:v>
      </x:c>
      <x:c r="Q116" s="11" t="str">
        <x:v>เปลี่ยนมาใช้เครื่องตัดกิ่งแบบกลไกช่วย ถ้าใช้กรรไกรต้องพัก 10 นาทีทุก 20 นาที ทำงานเป็นทีมเพื่อหมุนเวียน และหลีกเลี่ยงการตัดในท่าบิดตัว</x:v>
      </x:c>
      <x:c r="R116" s="11" t="str">
        <x:v>Use mechanical pruning tools when possible. If shears are used, rest 10 minutes every 20 minutes, rotate as a team, and avoid twisting while cutting.</x:v>
      </x:c>
    </x:row>
    <x:row r="117" ht="48" customHeight="1">
      <x:c r="A117" s="8" t="str">
        <x:v>act_pruning_ref_high.02</x:v>
      </x:c>
      <x:c r="B117" s="8" t="str">
        <x:v>act_pruning_ref_high</x:v>
      </x:c>
      <x:c r="C117" s="8" t="n">
        <x:v>2</x:v>
      </x:c>
      <x:c r="D117" s="8" t="str">
        <x:v>recommendation</x:v>
      </x:c>
      <x:c r="E117" s="11" t="str">
        <x:v>riskReduction</x:v>
      </x:c>
      <x:c r="F117" s="11" t="str">
        <x:v>pruning</x:v>
      </x:c>
      <x:c r="G117" s="11" t="str">
        <x:v>any</x:v>
      </x:c>
      <x:c r="H117" s="11" t="str">
        <x:v>high</x:v>
      </x:c>
      <x:c r="I117" s="11" t="str">
        <x:v>activity_and_overall_risk_match</x:v>
      </x:c>
      <x:c r="J117" s="11" t="str">
        <x:v>ถ้าใช้กรรไกรต้องพัก 10 นาทีทุก 20 นาที</x:v>
      </x:c>
      <x:c r="K117" s="8" t="str">
        <x:v>app_recommendations_v3</x:v>
      </x:c>
      <x:c r="L117" s="8" t="str">
        <x:v>2</x:v>
      </x:c>
      <x:c r="M117" s="11" t="str">
        <x:v>act_pruning_ref_high</x:v>
      </x:c>
      <x:c r="N117" s="11" t="n">
        <x:v>2</x:v>
      </x:c>
      <x:c r="O117" s="11" t="str">
        <x:v>2026-07-29.1</x:v>
      </x:c>
      <x:c r="P117" s="11" t="str">
        <x:v>source_verified</x:v>
      </x:c>
      <x:c r="Q117" s="11" t="str"/>
      <x:c r="R117" s="11" t="str"/>
    </x:row>
    <x:row r="118" ht="48" customHeight="1">
      <x:c r="A118" s="8" t="str">
        <x:v>act_pruning_ref_high.03</x:v>
      </x:c>
      <x:c r="B118" s="8" t="str">
        <x:v>act_pruning_ref_high</x:v>
      </x:c>
      <x:c r="C118" s="8" t="n">
        <x:v>3</x:v>
      </x:c>
      <x:c r="D118" s="8" t="str">
        <x:v>recommendation</x:v>
      </x:c>
      <x:c r="E118" s="11" t="str">
        <x:v>riskReduction</x:v>
      </x:c>
      <x:c r="F118" s="11" t="str">
        <x:v>pruning</x:v>
      </x:c>
      <x:c r="G118" s="11" t="str">
        <x:v>any</x:v>
      </x:c>
      <x:c r="H118" s="11" t="str">
        <x:v>high</x:v>
      </x:c>
      <x:c r="I118" s="11" t="str">
        <x:v>activity_and_overall_risk_match</x:v>
      </x:c>
      <x:c r="J118" s="11" t="str">
        <x:v>ทำงานเป็นทีมเพื่อหมุนเวียน</x:v>
      </x:c>
      <x:c r="K118" s="8" t="str">
        <x:v>app_recommendations_v3</x:v>
      </x:c>
      <x:c r="L118" s="8" t="str">
        <x:v>2</x:v>
      </x:c>
      <x:c r="M118" s="11" t="str">
        <x:v>act_pruning_ref_high</x:v>
      </x:c>
      <x:c r="N118" s="11" t="n">
        <x:v>2</x:v>
      </x:c>
      <x:c r="O118" s="11" t="str">
        <x:v>2026-07-29.1</x:v>
      </x:c>
      <x:c r="P118" s="11" t="str">
        <x:v>source_verified</x:v>
      </x:c>
      <x:c r="Q118" s="11" t="str"/>
      <x:c r="R118" s="11" t="str"/>
    </x:row>
    <x:row r="119" ht="48" customHeight="1">
      <x:c r="A119" s="8" t="str">
        <x:v>act_pruning_ref_high.04</x:v>
      </x:c>
      <x:c r="B119" s="8" t="str">
        <x:v>act_pruning_ref_high</x:v>
      </x:c>
      <x:c r="C119" s="8" t="n">
        <x:v>4</x:v>
      </x:c>
      <x:c r="D119" s="8" t="str">
        <x:v>recommendation</x:v>
      </x:c>
      <x:c r="E119" s="11" t="str">
        <x:v>riskReduction</x:v>
      </x:c>
      <x:c r="F119" s="11" t="str">
        <x:v>pruning</x:v>
      </x:c>
      <x:c r="G119" s="11" t="str">
        <x:v>any</x:v>
      </x:c>
      <x:c r="H119" s="11" t="str">
        <x:v>high</x:v>
      </x:c>
      <x:c r="I119" s="11" t="str">
        <x:v>activity_and_overall_risk_match</x:v>
      </x:c>
      <x:c r="J119" s="11" t="str">
        <x:v>หลีกเลี่ยงการตัดในท่าบิดตัว</x:v>
      </x:c>
      <x:c r="K119" s="8" t="str">
        <x:v>app_recommendations_v3</x:v>
      </x:c>
      <x:c r="L119" s="8" t="str">
        <x:v>2</x:v>
      </x:c>
      <x:c r="M119" s="11" t="str">
        <x:v>act_pruning_ref_high</x:v>
      </x:c>
      <x:c r="N119" s="11" t="n">
        <x:v>2</x:v>
      </x:c>
      <x:c r="O119" s="11" t="str">
        <x:v>2026-07-29.1</x:v>
      </x:c>
      <x:c r="P119" s="11" t="str">
        <x:v>source_verified</x:v>
      </x:c>
      <x:c r="Q119" s="11" t="str"/>
      <x:c r="R119" s="11" t="str"/>
    </x:row>
    <x:row r="120" ht="48" customHeight="1">
      <x:c r="A120" s="8" t="str">
        <x:v>act_pruning_ref_low.01</x:v>
      </x:c>
      <x:c r="B120" s="8" t="str">
        <x:v>act_pruning_ref_low</x:v>
      </x:c>
      <x:c r="C120" s="8" t="n">
        <x:v>1</x:v>
      </x:c>
      <x:c r="D120" s="8" t="str">
        <x:v>recommendation</x:v>
      </x:c>
      <x:c r="E120" s="11" t="str">
        <x:v>riskReduction</x:v>
      </x:c>
      <x:c r="F120" s="11" t="str">
        <x:v>pruning</x:v>
      </x:c>
      <x:c r="G120" s="11" t="str">
        <x:v>any</x:v>
      </x:c>
      <x:c r="H120" s="11" t="str">
        <x:v>low</x:v>
      </x:c>
      <x:c r="I120" s="11" t="str">
        <x:v>activity_and_overall_risk_match</x:v>
      </x:c>
      <x:c r="J120" s="11" t="str">
        <x:v>ใช้กรรไกรคมและน้ำหนักเบา</x:v>
      </x:c>
      <x:c r="K120" s="8" t="str">
        <x:v>app_recommendations_v3</x:v>
      </x:c>
      <x:c r="L120" s="8" t="str">
        <x:v>2</x:v>
      </x:c>
      <x:c r="M120" s="11" t="str">
        <x:v>act_pruning_ref_low</x:v>
      </x:c>
      <x:c r="N120" s="11" t="n">
        <x:v>2</x:v>
      </x:c>
      <x:c r="O120" s="11" t="str">
        <x:v>2026-07-29.1</x:v>
      </x:c>
      <x:c r="P120" s="11" t="str">
        <x:v>source_verified</x:v>
      </x:c>
      <x:c r="Q120" s="11" t="str">
        <x:v>ใช้กรรไกรคมและน้ำหนักเบา สลับแขนทุก 10-15 นาที และอย่ายกแขนเหนือศีรษะนาน</x:v>
      </x:c>
      <x:c r="R120" s="11" t="str">
        <x:v>Use sharp lightweight shears, switch arms every 10-15 minutes, and avoid keeping arms above the head for long periods.</x:v>
      </x:c>
    </x:row>
    <x:row r="121" ht="48" customHeight="1">
      <x:c r="A121" s="8" t="str">
        <x:v>act_pruning_ref_low.02</x:v>
      </x:c>
      <x:c r="B121" s="8" t="str">
        <x:v>act_pruning_ref_low</x:v>
      </x:c>
      <x:c r="C121" s="8" t="n">
        <x:v>2</x:v>
      </x:c>
      <x:c r="D121" s="8" t="str">
        <x:v>recommendation</x:v>
      </x:c>
      <x:c r="E121" s="11" t="str">
        <x:v>riskReduction</x:v>
      </x:c>
      <x:c r="F121" s="11" t="str">
        <x:v>pruning</x:v>
      </x:c>
      <x:c r="G121" s="11" t="str">
        <x:v>any</x:v>
      </x:c>
      <x:c r="H121" s="11" t="str">
        <x:v>low</x:v>
      </x:c>
      <x:c r="I121" s="11" t="str">
        <x:v>activity_and_overall_risk_match</x:v>
      </x:c>
      <x:c r="J121" s="11" t="str">
        <x:v>สลับแขนทุก 10-15 นาที และอย่ายกแขนเหนือศีรษะนาน</x:v>
      </x:c>
      <x:c r="K121" s="8" t="str">
        <x:v>app_recommendations_v3</x:v>
      </x:c>
      <x:c r="L121" s="8" t="str">
        <x:v>2</x:v>
      </x:c>
      <x:c r="M121" s="11" t="str">
        <x:v>act_pruning_ref_low</x:v>
      </x:c>
      <x:c r="N121" s="11" t="n">
        <x:v>2</x:v>
      </x:c>
      <x:c r="O121" s="11" t="str">
        <x:v>2026-07-29.1</x:v>
      </x:c>
      <x:c r="P121" s="11" t="str">
        <x:v>source_verified</x:v>
      </x:c>
      <x:c r="Q121" s="11" t="str"/>
      <x:c r="R121" s="11" t="str"/>
    </x:row>
    <x:row r="122" ht="48" customHeight="1">
      <x:c r="A122" s="8" t="str">
        <x:v>act_pruning_ref_medium.01</x:v>
      </x:c>
      <x:c r="B122" s="8" t="str">
        <x:v>act_pruning_ref_medium</x:v>
      </x:c>
      <x:c r="C122" s="8" t="n">
        <x:v>1</x:v>
      </x:c>
      <x:c r="D122" s="8" t="str">
        <x:v>recommendation</x:v>
      </x:c>
      <x:c r="E122" s="11" t="str">
        <x:v>riskReduction</x:v>
      </x:c>
      <x:c r="F122" s="11" t="str">
        <x:v>pruning</x:v>
      </x:c>
      <x:c r="G122" s="11" t="str">
        <x:v>any</x:v>
      </x:c>
      <x:c r="H122" s="11" t="str">
        <x:v>medium</x:v>
      </x:c>
      <x:c r="I122" s="11" t="str">
        <x:v>activity_and_overall_risk_match</x:v>
      </x:c>
      <x:c r="J122" s="11" t="str">
        <x:v>ใช้กรรไกรแบบก้านยาวเพื่อลดการเอื้อม</x:v>
      </x:c>
      <x:c r="K122" s="8" t="str">
        <x:v>app_recommendations_v3</x:v>
      </x:c>
      <x:c r="L122" s="8" t="str">
        <x:v>2</x:v>
      </x:c>
      <x:c r="M122" s="11" t="str">
        <x:v>act_pruning_ref_medium</x:v>
      </x:c>
      <x:c r="N122" s="11" t="n">
        <x:v>2</x:v>
      </x:c>
      <x:c r="O122" s="11" t="str">
        <x:v>2026-07-29.1</x:v>
      </x:c>
      <x:c r="P122" s="11" t="str">
        <x:v>source_verified</x:v>
      </x:c>
      <x:c r="Q122" s="11" t="str">
        <x:v>ใช้กรรไกรแบบก้านยาวเพื่อลดการเอื้อม ใช้บันไดสำหรับกิ่งสูง สลับแขน และพัก 5 นาทีทุก 30 นาที</x:v>
      </x:c>
      <x:c r="R122" s="11" t="str">
        <x:v>Use long-handled shears to reduce reaching, use a ladder for high branches, switch arms, and rest 5 minutes every 30 minutes.</x:v>
      </x:c>
    </x:row>
    <x:row r="123" ht="48" customHeight="1">
      <x:c r="A123" s="8" t="str">
        <x:v>act_pruning_ref_medium.02</x:v>
      </x:c>
      <x:c r="B123" s="8" t="str">
        <x:v>act_pruning_ref_medium</x:v>
      </x:c>
      <x:c r="C123" s="8" t="n">
        <x:v>2</x:v>
      </x:c>
      <x:c r="D123" s="8" t="str">
        <x:v>recommendation</x:v>
      </x:c>
      <x:c r="E123" s="11" t="str">
        <x:v>riskReduction</x:v>
      </x:c>
      <x:c r="F123" s="11" t="str">
        <x:v>pruning</x:v>
      </x:c>
      <x:c r="G123" s="11" t="str">
        <x:v>any</x:v>
      </x:c>
      <x:c r="H123" s="11" t="str">
        <x:v>medium</x:v>
      </x:c>
      <x:c r="I123" s="11" t="str">
        <x:v>activity_and_overall_risk_match</x:v>
      </x:c>
      <x:c r="J123" s="11" t="str">
        <x:v>ใช้บันไดสำหรับกิ่งสูง</x:v>
      </x:c>
      <x:c r="K123" s="8" t="str">
        <x:v>app_recommendations_v3</x:v>
      </x:c>
      <x:c r="L123" s="8" t="str">
        <x:v>2</x:v>
      </x:c>
      <x:c r="M123" s="11" t="str">
        <x:v>act_pruning_ref_medium</x:v>
      </x:c>
      <x:c r="N123" s="11" t="n">
        <x:v>2</x:v>
      </x:c>
      <x:c r="O123" s="11" t="str">
        <x:v>2026-07-29.1</x:v>
      </x:c>
      <x:c r="P123" s="11" t="str">
        <x:v>source_verified</x:v>
      </x:c>
      <x:c r="Q123" s="11" t="str"/>
      <x:c r="R123" s="11" t="str"/>
    </x:row>
    <x:row r="124" ht="48" customHeight="1">
      <x:c r="A124" s="8" t="str">
        <x:v>act_pruning_ref_medium.03</x:v>
      </x:c>
      <x:c r="B124" s="8" t="str">
        <x:v>act_pruning_ref_medium</x:v>
      </x:c>
      <x:c r="C124" s="8" t="n">
        <x:v>3</x:v>
      </x:c>
      <x:c r="D124" s="8" t="str">
        <x:v>recommendation</x:v>
      </x:c>
      <x:c r="E124" s="11" t="str">
        <x:v>riskReduction</x:v>
      </x:c>
      <x:c r="F124" s="11" t="str">
        <x:v>pruning</x:v>
      </x:c>
      <x:c r="G124" s="11" t="str">
        <x:v>any</x:v>
      </x:c>
      <x:c r="H124" s="11" t="str">
        <x:v>medium</x:v>
      </x:c>
      <x:c r="I124" s="11" t="str">
        <x:v>activity_and_overall_risk_match</x:v>
      </x:c>
      <x:c r="J124" s="11" t="str">
        <x:v>สลับแขน</x:v>
      </x:c>
      <x:c r="K124" s="8" t="str">
        <x:v>app_recommendations_v3</x:v>
      </x:c>
      <x:c r="L124" s="8" t="str">
        <x:v>2</x:v>
      </x:c>
      <x:c r="M124" s="11" t="str">
        <x:v>act_pruning_ref_medium</x:v>
      </x:c>
      <x:c r="N124" s="11" t="n">
        <x:v>2</x:v>
      </x:c>
      <x:c r="O124" s="11" t="str">
        <x:v>2026-07-29.1</x:v>
      </x:c>
      <x:c r="P124" s="11" t="str">
        <x:v>source_verified</x:v>
      </x:c>
      <x:c r="Q124" s="11" t="str"/>
      <x:c r="R124" s="11" t="str"/>
    </x:row>
    <x:row r="125" ht="48" customHeight="1">
      <x:c r="A125" s="8" t="str">
        <x:v>act_pruning_ref_medium.04</x:v>
      </x:c>
      <x:c r="B125" s="8" t="str">
        <x:v>act_pruning_ref_medium</x:v>
      </x:c>
      <x:c r="C125" s="8" t="n">
        <x:v>4</x:v>
      </x:c>
      <x:c r="D125" s="8" t="str">
        <x:v>recommendation</x:v>
      </x:c>
      <x:c r="E125" s="11" t="str">
        <x:v>riskReduction</x:v>
      </x:c>
      <x:c r="F125" s="11" t="str">
        <x:v>pruning</x:v>
      </x:c>
      <x:c r="G125" s="11" t="str">
        <x:v>any</x:v>
      </x:c>
      <x:c r="H125" s="11" t="str">
        <x:v>medium</x:v>
      </x:c>
      <x:c r="I125" s="11" t="str">
        <x:v>activity_and_overall_risk_match</x:v>
      </x:c>
      <x:c r="J125" s="11" t="str">
        <x:v>พัก 5 นาทีทุก 30 นาที</x:v>
      </x:c>
      <x:c r="K125" s="8" t="str">
        <x:v>app_recommendations_v3</x:v>
      </x:c>
      <x:c r="L125" s="8" t="str">
        <x:v>2</x:v>
      </x:c>
      <x:c r="M125" s="11" t="str">
        <x:v>act_pruning_ref_medium</x:v>
      </x:c>
      <x:c r="N125" s="11" t="n">
        <x:v>2</x:v>
      </x:c>
      <x:c r="O125" s="11" t="str">
        <x:v>2026-07-29.1</x:v>
      </x:c>
      <x:c r="P125" s="11" t="str">
        <x:v>source_verified</x:v>
      </x:c>
      <x:c r="Q125" s="11" t="str"/>
      <x:c r="R125" s="11" t="str"/>
    </x:row>
    <x:row r="126" ht="48" customHeight="1">
      <x:c r="A126" s="8" t="str">
        <x:v>act_reduce_arm_raise.01</x:v>
      </x:c>
      <x:c r="B126" s="8" t="str">
        <x:v>act_reduce_arm_raise</x:v>
      </x:c>
      <x:c r="C126" s="8" t="n">
        <x:v>1</x:v>
      </x:c>
      <x:c r="D126" s="8" t="str">
        <x:v>recommendation</x:v>
      </x:c>
      <x:c r="E126" s="11" t="str">
        <x:v>posture</x:v>
      </x:c>
      <x:c r="F126" s="11" t="str">
        <x:v>any</x:v>
      </x:c>
      <x:c r="G126" s="11" t="str">
        <x:v>any</x:v>
      </x:c>
      <x:c r="H126" s="11" t="str">
        <x:v>any</x:v>
      </x:c>
      <x:c r="I126" s="11" t="str">
        <x:v>selection_key_selected</x:v>
      </x:c>
      <x:c r="J126" s="11" t="str">
        <x:v>ลดการยกแขนสูงเหนือไหล่เป็นเวลานาน</x:v>
      </x:c>
      <x:c r="K126" s="8" t="str">
        <x:v>body_map_recommendations</x:v>
      </x:c>
      <x:c r="L126" s="8" t="str">
        <x:v>4-5</x:v>
      </x:c>
      <x:c r="M126" s="11" t="str">
        <x:v>Shoulder and arm</x:v>
      </x:c>
      <x:c r="N126" s="11" t="n">
        <x:v>1</x:v>
      </x:c>
      <x:c r="O126" s="11" t="str">
        <x:v>2026-07-29.1</x:v>
      </x:c>
      <x:c r="P126" s="11" t="str">
        <x:v>source_verified</x:v>
      </x:c>
      <x:c r="Q126" s="11" t="str">
        <x:v>ลดการยกแขนสูงเหนือไหล่เป็นเวลานาน</x:v>
      </x:c>
      <x:c r="R126" s="11" t="str">
        <x:v>Reduce prolonged arm raising</x:v>
      </x:c>
    </x:row>
    <x:row r="127" ht="48" customHeight="1">
      <x:c r="A127" s="8" t="str">
        <x:v>act_reduce_load_tool.01</x:v>
      </x:c>
      <x:c r="B127" s="8" t="str">
        <x:v>act_reduce_load_tool</x:v>
      </x:c>
      <x:c r="C127" s="8" t="n">
        <x:v>1</x:v>
      </x:c>
      <x:c r="D127" s="8" t="str">
        <x:v>recommendation</x:v>
      </x:c>
      <x:c r="E127" s="11" t="str">
        <x:v>workloadSupport</x:v>
      </x:c>
      <x:c r="F127" s="11" t="str">
        <x:v>any</x:v>
      </x:c>
      <x:c r="G127" s="11" t="str">
        <x:v>any</x:v>
      </x:c>
      <x:c r="H127" s="11" t="str">
        <x:v>any</x:v>
      </x:c>
      <x:c r="I127" s="11" t="str">
        <x:v>selection_key_selected</x:v>
      </x:c>
      <x:c r="J127" s="11" t="str">
        <x:v>ลดน้ำหนักสิ่งของ หรือใช้เครื่องทุ่นแรง</x:v>
      </x:c>
      <x:c r="K127" s="8" t="str">
        <x:v>body_map_recommendations</x:v>
      </x:c>
      <x:c r="L127" s="8" t="str">
        <x:v>4,8</x:v>
      </x:c>
      <x:c r="M127" s="11" t="str">
        <x:v>Mechanical aids</x:v>
      </x:c>
      <x:c r="N127" s="11" t="n">
        <x:v>1</x:v>
      </x:c>
      <x:c r="O127" s="11" t="str">
        <x:v>2026-07-29.1</x:v>
      </x:c>
      <x:c r="P127" s="11" t="str">
        <x:v>source_verified</x:v>
      </x:c>
      <x:c r="Q127" s="11" t="str">
        <x:v>ลดน้ำหนักสิ่งของ หรือใช้เครื่องทุ่นแรง</x:v>
      </x:c>
      <x:c r="R127" s="11" t="str">
        <x:v>Reduce load or use assist tools</x:v>
      </x:c>
    </x:row>
    <x:row r="128" ht="48" customHeight="1">
      <x:c r="A128" s="8" t="str">
        <x:v>act_reduce_weight.01</x:v>
      </x:c>
      <x:c r="B128" s="8" t="str">
        <x:v>act_reduce_weight</x:v>
      </x:c>
      <x:c r="C128" s="8" t="n">
        <x:v>1</x:v>
      </x:c>
      <x:c r="D128" s="8" t="str">
        <x:v>recommendation</x:v>
      </x:c>
      <x:c r="E128" s="11" t="str">
        <x:v>posture</x:v>
      </x:c>
      <x:c r="F128" s="11" t="str">
        <x:v>any</x:v>
      </x:c>
      <x:c r="G128" s="11" t="str">
        <x:v>any</x:v>
      </x:c>
      <x:c r="H128" s="11" t="str">
        <x:v>any</x:v>
      </x:c>
      <x:c r="I128" s="11" t="str">
        <x:v>selection_key_selected</x:v>
      </x:c>
      <x:c r="J128" s="11" t="str">
        <x:v>ลดน้ำหนักที่ยก</x:v>
      </x:c>
      <x:c r="K128" s="8" t="str">
        <x:v>body_map_recommendations</x:v>
      </x:c>
      <x:c r="L128" s="8" t="str">
        <x:v>7-8</x:v>
      </x:c>
      <x:c r="M128" s="11" t="str">
        <x:v>Manual handling</x:v>
      </x:c>
      <x:c r="N128" s="11" t="n">
        <x:v>1</x:v>
      </x:c>
      <x:c r="O128" s="11" t="str">
        <x:v>2026-07-29.1</x:v>
      </x:c>
      <x:c r="P128" s="11" t="str">
        <x:v>source_verified</x:v>
      </x:c>
      <x:c r="Q128" s="11" t="str">
        <x:v>ลดน้ำหนักที่ยก</x:v>
      </x:c>
      <x:c r="R128" s="11" t="str">
        <x:v>Reduce load weight</x:v>
      </x:c>
    </x:row>
    <x:row r="129" ht="48" customHeight="1">
      <x:c r="A129" s="8" t="str">
        <x:v>act_ref_weight_high.01</x:v>
      </x:c>
      <x:c r="B129" s="8" t="str">
        <x:v>act_ref_weight_high</x:v>
      </x:c>
      <x:c r="C129" s="8" t="n">
        <x:v>1</x:v>
      </x:c>
      <x:c r="D129" s="8" t="str">
        <x:v>recommendation</x:v>
      </x:c>
      <x:c r="E129" s="11" t="str">
        <x:v>workloadSupport</x:v>
      </x:c>
      <x:c r="F129" s="11" t="str">
        <x:v>any</x:v>
      </x:c>
      <x:c r="G129" s="11" t="str">
        <x:v>manual</x:v>
      </x:c>
      <x:c r="H129" s="11" t="str">
        <x:v>high</x:v>
      </x:c>
      <x:c r="I129" s="11" t="str">
        <x:v>overall_risk_matches_and_manual_handling</x:v>
      </x:c>
      <x:c r="J129" s="11" t="str">
        <x:v>ลดน้ำหนักที่ยกทันที: ชาย 20-45 ปี ไม่เกิน 13 กก.</x:v>
      </x:c>
      <x:c r="K129" s="8" t="str">
        <x:v>app_recommendations_v3</x:v>
      </x:c>
      <x:c r="L129" s="8" t="str">
        <x:v>1</x:v>
      </x:c>
      <x:c r="M129" s="11" t="str">
        <x:v>act_ref_weight_high</x:v>
      </x:c>
      <x:c r="N129" s="11" t="n">
        <x:v>2</x:v>
      </x:c>
      <x:c r="O129" s="11" t="str">
        <x:v>2026-07-29.1</x:v>
      </x:c>
      <x:c r="P129" s="11" t="str">
        <x:v>source_verified</x:v>
      </x:c>
      <x:c r="Q129" s="11" t="str">
        <x:v>ลดน้ำหนักที่ยกทันที: ชาย 20-45 ปี ไม่เกิน 13 กก.; ชายอายุต่ำกว่า 20 หรือมากกว่า 45 ปี ไม่เกิน 10 กก.; หญิง 20-45 ปี ไม่เกิน 10 กก.; หญิงอายุต่ำกว่า 20 หรือมากกว่า 45 ปี ไม่เกิน 8 กก. ถ้าเกินนี้ให้ใช้อุปกรณ์ช่วย</x:v>
      </x:c>
      <x:c r="R129" s="11" t="str">
        <x:v>Reduce lifting weight immediately: men 20-45 years up to 13 kg; men under 20 or over 45 up to 10 kg; women 20-45 up to 10 kg; women under 20 or over 45 up to 8 kg. Use handling aids if heavier.</x:v>
      </x:c>
    </x:row>
    <x:row r="130" ht="48" customHeight="1">
      <x:c r="A130" s="8" t="str">
        <x:v>act_ref_weight_high.02</x:v>
      </x:c>
      <x:c r="B130" s="8" t="str">
        <x:v>act_ref_weight_high</x:v>
      </x:c>
      <x:c r="C130" s="8" t="n">
        <x:v>2</x:v>
      </x:c>
      <x:c r="D130" s="8" t="str">
        <x:v>recommendation</x:v>
      </x:c>
      <x:c r="E130" s="11" t="str">
        <x:v>workloadSupport</x:v>
      </x:c>
      <x:c r="F130" s="11" t="str">
        <x:v>any</x:v>
      </x:c>
      <x:c r="G130" s="11" t="str">
        <x:v>manual</x:v>
      </x:c>
      <x:c r="H130" s="11" t="str">
        <x:v>high</x:v>
      </x:c>
      <x:c r="I130" s="11" t="str">
        <x:v>overall_risk_matches_and_manual_handling</x:v>
      </x:c>
      <x:c r="J130" s="11" t="str">
        <x:v>ชายอายุต่ำกว่า 20 หรือมากกว่า 45 ปี ไม่เกิน 10 กก.</x:v>
      </x:c>
      <x:c r="K130" s="8" t="str">
        <x:v>app_recommendations_v3</x:v>
      </x:c>
      <x:c r="L130" s="8" t="str">
        <x:v>1</x:v>
      </x:c>
      <x:c r="M130" s="11" t="str">
        <x:v>act_ref_weight_high</x:v>
      </x:c>
      <x:c r="N130" s="11" t="n">
        <x:v>2</x:v>
      </x:c>
      <x:c r="O130" s="11" t="str">
        <x:v>2026-07-29.1</x:v>
      </x:c>
      <x:c r="P130" s="11" t="str">
        <x:v>source_verified</x:v>
      </x:c>
      <x:c r="Q130" s="11" t="str"/>
      <x:c r="R130" s="11" t="str"/>
    </x:row>
    <x:row r="131" ht="48" customHeight="1">
      <x:c r="A131" s="8" t="str">
        <x:v>act_ref_weight_high.03</x:v>
      </x:c>
      <x:c r="B131" s="8" t="str">
        <x:v>act_ref_weight_high</x:v>
      </x:c>
      <x:c r="C131" s="8" t="n">
        <x:v>3</x:v>
      </x:c>
      <x:c r="D131" s="8" t="str">
        <x:v>recommendation</x:v>
      </x:c>
      <x:c r="E131" s="11" t="str">
        <x:v>workloadSupport</x:v>
      </x:c>
      <x:c r="F131" s="11" t="str">
        <x:v>any</x:v>
      </x:c>
      <x:c r="G131" s="11" t="str">
        <x:v>manual</x:v>
      </x:c>
      <x:c r="H131" s="11" t="str">
        <x:v>high</x:v>
      </x:c>
      <x:c r="I131" s="11" t="str">
        <x:v>overall_risk_matches_and_manual_handling</x:v>
      </x:c>
      <x:c r="J131" s="11" t="str">
        <x:v>หญิง 20-45 ปี ไม่เกิน 10 กก.</x:v>
      </x:c>
      <x:c r="K131" s="8" t="str">
        <x:v>app_recommendations_v3</x:v>
      </x:c>
      <x:c r="L131" s="8" t="str">
        <x:v>1</x:v>
      </x:c>
      <x:c r="M131" s="11" t="str">
        <x:v>act_ref_weight_high</x:v>
      </x:c>
      <x:c r="N131" s="11" t="n">
        <x:v>2</x:v>
      </x:c>
      <x:c r="O131" s="11" t="str">
        <x:v>2026-07-29.1</x:v>
      </x:c>
      <x:c r="P131" s="11" t="str">
        <x:v>source_verified</x:v>
      </x:c>
      <x:c r="Q131" s="11" t="str"/>
      <x:c r="R131" s="11" t="str"/>
    </x:row>
    <x:row r="132" ht="48" customHeight="1">
      <x:c r="A132" s="8" t="str">
        <x:v>act_ref_weight_high.04</x:v>
      </x:c>
      <x:c r="B132" s="8" t="str">
        <x:v>act_ref_weight_high</x:v>
      </x:c>
      <x:c r="C132" s="8" t="n">
        <x:v>4</x:v>
      </x:c>
      <x:c r="D132" s="8" t="str">
        <x:v>recommendation</x:v>
      </x:c>
      <x:c r="E132" s="11" t="str">
        <x:v>workloadSupport</x:v>
      </x:c>
      <x:c r="F132" s="11" t="str">
        <x:v>any</x:v>
      </x:c>
      <x:c r="G132" s="11" t="str">
        <x:v>manual</x:v>
      </x:c>
      <x:c r="H132" s="11" t="str">
        <x:v>high</x:v>
      </x:c>
      <x:c r="I132" s="11" t="str">
        <x:v>overall_risk_matches_and_manual_handling</x:v>
      </x:c>
      <x:c r="J132" s="11" t="str">
        <x:v>หญิงอายุต่ำกว่า 20 หรือมากกว่า 45 ปี ไม่เกิน 8 กก.</x:v>
      </x:c>
      <x:c r="K132" s="8" t="str">
        <x:v>app_recommendations_v3</x:v>
      </x:c>
      <x:c r="L132" s="8" t="str">
        <x:v>1</x:v>
      </x:c>
      <x:c r="M132" s="11" t="str">
        <x:v>act_ref_weight_high</x:v>
      </x:c>
      <x:c r="N132" s="11" t="n">
        <x:v>2</x:v>
      </x:c>
      <x:c r="O132" s="11" t="str">
        <x:v>2026-07-29.1</x:v>
      </x:c>
      <x:c r="P132" s="11" t="str">
        <x:v>source_verified</x:v>
      </x:c>
      <x:c r="Q132" s="11" t="str"/>
      <x:c r="R132" s="11" t="str"/>
    </x:row>
    <x:row r="133" ht="48" customHeight="1">
      <x:c r="A133" s="8" t="str">
        <x:v>act_ref_weight_high.05</x:v>
      </x:c>
      <x:c r="B133" s="8" t="str">
        <x:v>act_ref_weight_high</x:v>
      </x:c>
      <x:c r="C133" s="8" t="n">
        <x:v>5</x:v>
      </x:c>
      <x:c r="D133" s="8" t="str">
        <x:v>recommendation</x:v>
      </x:c>
      <x:c r="E133" s="11" t="str">
        <x:v>workloadSupport</x:v>
      </x:c>
      <x:c r="F133" s="11" t="str">
        <x:v>any</x:v>
      </x:c>
      <x:c r="G133" s="11" t="str">
        <x:v>manual</x:v>
      </x:c>
      <x:c r="H133" s="11" t="str">
        <x:v>high</x:v>
      </x:c>
      <x:c r="I133" s="11" t="str">
        <x:v>overall_risk_matches_and_manual_handling</x:v>
      </x:c>
      <x:c r="J133" s="11" t="str">
        <x:v>ถ้าเกินนี้ให้ใช้อุปกรณ์ช่วย</x:v>
      </x:c>
      <x:c r="K133" s="8" t="str">
        <x:v>app_recommendations_v3</x:v>
      </x:c>
      <x:c r="L133" s="8" t="str">
        <x:v>1</x:v>
      </x:c>
      <x:c r="M133" s="11" t="str">
        <x:v>act_ref_weight_high</x:v>
      </x:c>
      <x:c r="N133" s="11" t="n">
        <x:v>2</x:v>
      </x:c>
      <x:c r="O133" s="11" t="str">
        <x:v>2026-07-29.1</x:v>
      </x:c>
      <x:c r="P133" s="11" t="str">
        <x:v>source_verified</x:v>
      </x:c>
      <x:c r="Q133" s="11" t="str"/>
      <x:c r="R133" s="11" t="str"/>
    </x:row>
    <x:row r="134" ht="48" customHeight="1">
      <x:c r="A134" s="8" t="str">
        <x:v>act_ref_weight_low.01</x:v>
      </x:c>
      <x:c r="B134" s="8" t="str">
        <x:v>act_ref_weight_low</x:v>
      </x:c>
      <x:c r="C134" s="8" t="n">
        <x:v>1</x:v>
      </x:c>
      <x:c r="D134" s="8" t="str">
        <x:v>recommendation</x:v>
      </x:c>
      <x:c r="E134" s="11" t="str">
        <x:v>workloadSupport</x:v>
      </x:c>
      <x:c r="F134" s="11" t="str">
        <x:v>any</x:v>
      </x:c>
      <x:c r="G134" s="11" t="str">
        <x:v>manual</x:v>
      </x:c>
      <x:c r="H134" s="11" t="str">
        <x:v>low</x:v>
      </x:c>
      <x:c r="I134" s="11" t="str">
        <x:v>overall_risk_matches_and_manual_handling</x:v>
      </x:c>
      <x:c r="J134" s="11" t="str">
        <x:v>ตรวจสอบน้ำหนักที่ยก: ชาย 20-45 ปี ไม่เกิน 25 กก.</x:v>
      </x:c>
      <x:c r="K134" s="8" t="str">
        <x:v>app_recommendations_v3</x:v>
      </x:c>
      <x:c r="L134" s="8" t="str">
        <x:v>1</x:v>
      </x:c>
      <x:c r="M134" s="11" t="str">
        <x:v>act_ref_weight_low</x:v>
      </x:c>
      <x:c r="N134" s="11" t="n">
        <x:v>2</x:v>
      </x:c>
      <x:c r="O134" s="11" t="str">
        <x:v>2026-07-29.1</x:v>
      </x:c>
      <x:c r="P134" s="11" t="str">
        <x:v>source_verified</x:v>
      </x:c>
      <x:c r="Q134" s="11" t="str">
        <x:v>ตรวจสอบน้ำหนักที่ยก: ชาย 20-45 ปี ไม่เกิน 25 กก.; ชายอายุต่ำกว่า 20 หรือมากกว่า 45 ปี ไม่เกิน 20 กก.; หญิง 20-45 ปี ไม่เกิน 20 กก.; หญิงอายุต่ำกว่า 20 หรือมากกว่า 45 ปี ไม่เกิน 15 กก.</x:v>
      </x:c>
      <x:c r="R134" s="11" t="str">
        <x:v>Check lifting weight: men 20-45 years up to 25 kg; men under 20 or over 45 up to 20 kg; women 20-45 up to 20 kg; women under 20 or over 45 up to 15 kg.</x:v>
      </x:c>
    </x:row>
    <x:row r="135" ht="48" customHeight="1">
      <x:c r="A135" s="8" t="str">
        <x:v>act_ref_weight_low.02</x:v>
      </x:c>
      <x:c r="B135" s="8" t="str">
        <x:v>act_ref_weight_low</x:v>
      </x:c>
      <x:c r="C135" s="8" t="n">
        <x:v>2</x:v>
      </x:c>
      <x:c r="D135" s="8" t="str">
        <x:v>recommendation</x:v>
      </x:c>
      <x:c r="E135" s="11" t="str">
        <x:v>workloadSupport</x:v>
      </x:c>
      <x:c r="F135" s="11" t="str">
        <x:v>any</x:v>
      </x:c>
      <x:c r="G135" s="11" t="str">
        <x:v>manual</x:v>
      </x:c>
      <x:c r="H135" s="11" t="str">
        <x:v>low</x:v>
      </x:c>
      <x:c r="I135" s="11" t="str">
        <x:v>overall_risk_matches_and_manual_handling</x:v>
      </x:c>
      <x:c r="J135" s="11" t="str">
        <x:v>ชายอายุต่ำกว่า 20 หรือมากกว่า 45 ปี ไม่เกิน 20 กก.</x:v>
      </x:c>
      <x:c r="K135" s="8" t="str">
        <x:v>app_recommendations_v3</x:v>
      </x:c>
      <x:c r="L135" s="8" t="str">
        <x:v>1</x:v>
      </x:c>
      <x:c r="M135" s="11" t="str">
        <x:v>act_ref_weight_low</x:v>
      </x:c>
      <x:c r="N135" s="11" t="n">
        <x:v>2</x:v>
      </x:c>
      <x:c r="O135" s="11" t="str">
        <x:v>2026-07-29.1</x:v>
      </x:c>
      <x:c r="P135" s="11" t="str">
        <x:v>source_verified</x:v>
      </x:c>
      <x:c r="Q135" s="11" t="str"/>
      <x:c r="R135" s="11" t="str"/>
    </x:row>
    <x:row r="136" ht="48" customHeight="1">
      <x:c r="A136" s="8" t="str">
        <x:v>act_ref_weight_low.03</x:v>
      </x:c>
      <x:c r="B136" s="8" t="str">
        <x:v>act_ref_weight_low</x:v>
      </x:c>
      <x:c r="C136" s="8" t="n">
        <x:v>3</x:v>
      </x:c>
      <x:c r="D136" s="8" t="str">
        <x:v>recommendation</x:v>
      </x:c>
      <x:c r="E136" s="11" t="str">
        <x:v>workloadSupport</x:v>
      </x:c>
      <x:c r="F136" s="11" t="str">
        <x:v>any</x:v>
      </x:c>
      <x:c r="G136" s="11" t="str">
        <x:v>manual</x:v>
      </x:c>
      <x:c r="H136" s="11" t="str">
        <x:v>low</x:v>
      </x:c>
      <x:c r="I136" s="11" t="str">
        <x:v>overall_risk_matches_and_manual_handling</x:v>
      </x:c>
      <x:c r="J136" s="11" t="str">
        <x:v>หญิง 20-45 ปี ไม่เกิน 20 กก.</x:v>
      </x:c>
      <x:c r="K136" s="8" t="str">
        <x:v>app_recommendations_v3</x:v>
      </x:c>
      <x:c r="L136" s="8" t="str">
        <x:v>1</x:v>
      </x:c>
      <x:c r="M136" s="11" t="str">
        <x:v>act_ref_weight_low</x:v>
      </x:c>
      <x:c r="N136" s="11" t="n">
        <x:v>2</x:v>
      </x:c>
      <x:c r="O136" s="11" t="str">
        <x:v>2026-07-29.1</x:v>
      </x:c>
      <x:c r="P136" s="11" t="str">
        <x:v>source_verified</x:v>
      </x:c>
      <x:c r="Q136" s="11" t="str"/>
      <x:c r="R136" s="11" t="str"/>
    </x:row>
    <x:row r="137" ht="48" customHeight="1">
      <x:c r="A137" s="8" t="str">
        <x:v>act_ref_weight_low.04</x:v>
      </x:c>
      <x:c r="B137" s="8" t="str">
        <x:v>act_ref_weight_low</x:v>
      </x:c>
      <x:c r="C137" s="8" t="n">
        <x:v>4</x:v>
      </x:c>
      <x:c r="D137" s="8" t="str">
        <x:v>recommendation</x:v>
      </x:c>
      <x:c r="E137" s="11" t="str">
        <x:v>workloadSupport</x:v>
      </x:c>
      <x:c r="F137" s="11" t="str">
        <x:v>any</x:v>
      </x:c>
      <x:c r="G137" s="11" t="str">
        <x:v>manual</x:v>
      </x:c>
      <x:c r="H137" s="11" t="str">
        <x:v>low</x:v>
      </x:c>
      <x:c r="I137" s="11" t="str">
        <x:v>overall_risk_matches_and_manual_handling</x:v>
      </x:c>
      <x:c r="J137" s="11" t="str">
        <x:v>หญิงอายุต่ำกว่า 20 หรือมากกว่า 45 ปี ไม่เกิน 15 กก.</x:v>
      </x:c>
      <x:c r="K137" s="8" t="str">
        <x:v>app_recommendations_v3</x:v>
      </x:c>
      <x:c r="L137" s="8" t="str">
        <x:v>1</x:v>
      </x:c>
      <x:c r="M137" s="11" t="str">
        <x:v>act_ref_weight_low</x:v>
      </x:c>
      <x:c r="N137" s="11" t="n">
        <x:v>2</x:v>
      </x:c>
      <x:c r="O137" s="11" t="str">
        <x:v>2026-07-29.1</x:v>
      </x:c>
      <x:c r="P137" s="11" t="str">
        <x:v>source_verified</x:v>
      </x:c>
      <x:c r="Q137" s="11" t="str"/>
      <x:c r="R137" s="11" t="str"/>
    </x:row>
    <x:row r="138" ht="48" customHeight="1">
      <x:c r="A138" s="8" t="str">
        <x:v>act_ref_weight_medium.01</x:v>
      </x:c>
      <x:c r="B138" s="8" t="str">
        <x:v>act_ref_weight_medium</x:v>
      </x:c>
      <x:c r="C138" s="8" t="n">
        <x:v>1</x:v>
      </x:c>
      <x:c r="D138" s="8" t="str">
        <x:v>recommendation</x:v>
      </x:c>
      <x:c r="E138" s="11" t="str">
        <x:v>workloadSupport</x:v>
      </x:c>
      <x:c r="F138" s="11" t="str">
        <x:v>any</x:v>
      </x:c>
      <x:c r="G138" s="11" t="str">
        <x:v>manual</x:v>
      </x:c>
      <x:c r="H138" s="11" t="str">
        <x:v>medium</x:v>
      </x:c>
      <x:c r="I138" s="11" t="str">
        <x:v>overall_risk_matches_and_manual_handling</x:v>
      </x:c>
      <x:c r="J138" s="11" t="str">
        <x:v>ปรับน้ำหนักที่ยก: ชาย 20-45 ปี ไม่เกิน 18 กก.</x:v>
      </x:c>
      <x:c r="K138" s="8" t="str">
        <x:v>app_recommendations_v3</x:v>
      </x:c>
      <x:c r="L138" s="8" t="str">
        <x:v>1</x:v>
      </x:c>
      <x:c r="M138" s="11" t="str">
        <x:v>act_ref_weight_medium</x:v>
      </x:c>
      <x:c r="N138" s="11" t="n">
        <x:v>2</x:v>
      </x:c>
      <x:c r="O138" s="11" t="str">
        <x:v>2026-07-29.1</x:v>
      </x:c>
      <x:c r="P138" s="11" t="str">
        <x:v>source_verified</x:v>
      </x:c>
      <x:c r="Q138" s="11" t="str">
        <x:v>ปรับน้ำหนักที่ยก: ชาย 20-45 ปี ไม่เกิน 18 กก.; ชายอายุต่ำกว่า 20 หรือมากกว่า 45 ปี ไม่เกิน 15 กก.; หญิง 20-45 ปี ไม่เกิน 15 กก.; หญิงอายุต่ำกว่า 20 หรือมากกว่า 45 ปี ไม่เกิน 11 กก.</x:v>
      </x:c>
      <x:c r="R138" s="11" t="str">
        <x:v>Reduce lifting weight: men 20-45 years up to 18 kg; men under 20 or over 45 up to 15 kg; women 20-45 up to 15 kg; women under 20 or over 45 up to 11 kg.</x:v>
      </x:c>
    </x:row>
    <x:row r="139" ht="48" customHeight="1">
      <x:c r="A139" s="8" t="str">
        <x:v>act_ref_weight_medium.02</x:v>
      </x:c>
      <x:c r="B139" s="8" t="str">
        <x:v>act_ref_weight_medium</x:v>
      </x:c>
      <x:c r="C139" s="8" t="n">
        <x:v>2</x:v>
      </x:c>
      <x:c r="D139" s="8" t="str">
        <x:v>recommendation</x:v>
      </x:c>
      <x:c r="E139" s="11" t="str">
        <x:v>workloadSupport</x:v>
      </x:c>
      <x:c r="F139" s="11" t="str">
        <x:v>any</x:v>
      </x:c>
      <x:c r="G139" s="11" t="str">
        <x:v>manual</x:v>
      </x:c>
      <x:c r="H139" s="11" t="str">
        <x:v>medium</x:v>
      </x:c>
      <x:c r="I139" s="11" t="str">
        <x:v>overall_risk_matches_and_manual_handling</x:v>
      </x:c>
      <x:c r="J139" s="11" t="str">
        <x:v>ชายอายุต่ำกว่า 20 หรือมากกว่า 45 ปี ไม่เกิน 15 กก.</x:v>
      </x:c>
      <x:c r="K139" s="8" t="str">
        <x:v>app_recommendations_v3</x:v>
      </x:c>
      <x:c r="L139" s="8" t="str">
        <x:v>1</x:v>
      </x:c>
      <x:c r="M139" s="11" t="str">
        <x:v>act_ref_weight_medium</x:v>
      </x:c>
      <x:c r="N139" s="11" t="n">
        <x:v>2</x:v>
      </x:c>
      <x:c r="O139" s="11" t="str">
        <x:v>2026-07-29.1</x:v>
      </x:c>
      <x:c r="P139" s="11" t="str">
        <x:v>source_verified</x:v>
      </x:c>
      <x:c r="Q139" s="11" t="str"/>
      <x:c r="R139" s="11" t="str"/>
    </x:row>
    <x:row r="140" ht="48" customHeight="1">
      <x:c r="A140" s="8" t="str">
        <x:v>act_ref_weight_medium.03</x:v>
      </x:c>
      <x:c r="B140" s="8" t="str">
        <x:v>act_ref_weight_medium</x:v>
      </x:c>
      <x:c r="C140" s="8" t="n">
        <x:v>3</x:v>
      </x:c>
      <x:c r="D140" s="8" t="str">
        <x:v>recommendation</x:v>
      </x:c>
      <x:c r="E140" s="11" t="str">
        <x:v>workloadSupport</x:v>
      </x:c>
      <x:c r="F140" s="11" t="str">
        <x:v>any</x:v>
      </x:c>
      <x:c r="G140" s="11" t="str">
        <x:v>manual</x:v>
      </x:c>
      <x:c r="H140" s="11" t="str">
        <x:v>medium</x:v>
      </x:c>
      <x:c r="I140" s="11" t="str">
        <x:v>overall_risk_matches_and_manual_handling</x:v>
      </x:c>
      <x:c r="J140" s="11" t="str">
        <x:v>หญิง 20-45 ปี ไม่เกิน 15 กก.</x:v>
      </x:c>
      <x:c r="K140" s="8" t="str">
        <x:v>app_recommendations_v3</x:v>
      </x:c>
      <x:c r="L140" s="8" t="str">
        <x:v>1</x:v>
      </x:c>
      <x:c r="M140" s="11" t="str">
        <x:v>act_ref_weight_medium</x:v>
      </x:c>
      <x:c r="N140" s="11" t="n">
        <x:v>2</x:v>
      </x:c>
      <x:c r="O140" s="11" t="str">
        <x:v>2026-07-29.1</x:v>
      </x:c>
      <x:c r="P140" s="11" t="str">
        <x:v>source_verified</x:v>
      </x:c>
      <x:c r="Q140" s="11" t="str"/>
      <x:c r="R140" s="11" t="str"/>
    </x:row>
    <x:row r="141" ht="48" customHeight="1">
      <x:c r="A141" s="8" t="str">
        <x:v>act_ref_weight_medium.04</x:v>
      </x:c>
      <x:c r="B141" s="8" t="str">
        <x:v>act_ref_weight_medium</x:v>
      </x:c>
      <x:c r="C141" s="8" t="n">
        <x:v>4</x:v>
      </x:c>
      <x:c r="D141" s="8" t="str">
        <x:v>recommendation</x:v>
      </x:c>
      <x:c r="E141" s="11" t="str">
        <x:v>workloadSupport</x:v>
      </x:c>
      <x:c r="F141" s="11" t="str">
        <x:v>any</x:v>
      </x:c>
      <x:c r="G141" s="11" t="str">
        <x:v>manual</x:v>
      </x:c>
      <x:c r="H141" s="11" t="str">
        <x:v>medium</x:v>
      </x:c>
      <x:c r="I141" s="11" t="str">
        <x:v>overall_risk_matches_and_manual_handling</x:v>
      </x:c>
      <x:c r="J141" s="11" t="str">
        <x:v>หญิงอายุต่ำกว่า 20 หรือมากกว่า 45 ปี ไม่เกิน 11 กก.</x:v>
      </x:c>
      <x:c r="K141" s="8" t="str">
        <x:v>app_recommendations_v3</x:v>
      </x:c>
      <x:c r="L141" s="8" t="str">
        <x:v>1</x:v>
      </x:c>
      <x:c r="M141" s="11" t="str">
        <x:v>act_ref_weight_medium</x:v>
      </x:c>
      <x:c r="N141" s="11" t="n">
        <x:v>2</x:v>
      </x:c>
      <x:c r="O141" s="11" t="str">
        <x:v>2026-07-29.1</x:v>
      </x:c>
      <x:c r="P141" s="11" t="str">
        <x:v>source_verified</x:v>
      </x:c>
      <x:c r="Q141" s="11" t="str"/>
      <x:c r="R141" s="11" t="str"/>
    </x:row>
    <x:row r="142" ht="48" customHeight="1">
      <x:c r="A142" s="8" t="str">
        <x:v>act_rest_stretch.01</x:v>
      </x:c>
      <x:c r="B142" s="8" t="str">
        <x:v>act_rest_stretch</x:v>
      </x:c>
      <x:c r="C142" s="8" t="n">
        <x:v>1</x:v>
      </x:c>
      <x:c r="D142" s="8" t="str">
        <x:v>recommendation</x:v>
      </x:c>
      <x:c r="E142" s="11" t="str">
        <x:v>restRotation</x:v>
      </x:c>
      <x:c r="F142" s="11" t="str">
        <x:v>any</x:v>
      </x:c>
      <x:c r="G142" s="11" t="str">
        <x:v>any</x:v>
      </x:c>
      <x:c r="H142" s="11" t="str">
        <x:v>any</x:v>
      </x:c>
      <x:c r="I142" s="11" t="str">
        <x:v>selection_key_selected</x:v>
      </x:c>
      <x:c r="J142" s="11" t="str">
        <x:v>ควรพักเบรกเพื่อยืดเหยียดกล้ามเนื้อ</x:v>
      </x:c>
      <x:c r="K142" s="8" t="str">
        <x:v>ilo_ergonomic_checkpoints_agriculture</x:v>
      </x:c>
      <x:c r="L142" s="8" t="str">
        <x:v>243</x:v>
      </x:c>
      <x:c r="M142" s="11" t="str">
        <x:v>Checkpoint 99</x:v>
      </x:c>
      <x:c r="N142" s="11" t="n">
        <x:v>3</x:v>
      </x:c>
      <x:c r="O142" s="11" t="str">
        <x:v>2026-07-29.1</x:v>
      </x:c>
      <x:c r="P142" s="11" t="str">
        <x:v>source_verified</x:v>
      </x:c>
      <x:c r="Q142" s="11" t="str">
        <x:v>ควรพักเบรกเพื่อยืดเหยียดกล้ามเนื้อ</x:v>
      </x:c>
      <x:c r="R142" s="11" t="str">
        <x:v>Take breaks to stretch muscles</x:v>
      </x:c>
    </x:row>
    <x:row r="143" ht="48" customHeight="1">
      <x:c r="A143" s="8" t="str">
        <x:v>act_spray_extension.01</x:v>
      </x:c>
      <x:c r="B143" s="8" t="str">
        <x:v>act_spray_extension</x:v>
      </x:c>
      <x:c r="C143" s="8" t="n">
        <x:v>1</x:v>
      </x:c>
      <x:c r="D143" s="8" t="str">
        <x:v>recommendation</x:v>
      </x:c>
      <x:c r="E143" s="11" t="str">
        <x:v>posture</x:v>
      </x:c>
      <x:c r="F143" s="11" t="str">
        <x:v>any</x:v>
      </x:c>
      <x:c r="G143" s="11" t="str">
        <x:v>any</x:v>
      </x:c>
      <x:c r="H143" s="11" t="str">
        <x:v>any</x:v>
      </x:c>
      <x:c r="I143" s="11" t="str">
        <x:v>selection_key_selected</x:v>
      </x:c>
      <x:c r="J143" s="11" t="str">
        <x:v>ใช้ด้ามต่อหัวพ่น เพื่อลดการยกแขนสูงหรือเอื้อมไกล</x:v>
      </x:c>
      <x:c r="K143" s="8" t="str">
        <x:v>app_recommendations_v3</x:v>
      </x:c>
      <x:c r="L143" s="8" t="str">
        <x:v>2</x:v>
      </x:c>
      <x:c r="M143" s="11" t="str">
        <x:v>Pesticide spraying</x:v>
      </x:c>
      <x:c r="N143" s="11" t="n">
        <x:v>2</x:v>
      </x:c>
      <x:c r="O143" s="11" t="str">
        <x:v>2026-07-29.1</x:v>
      </x:c>
      <x:c r="P143" s="11" t="str">
        <x:v>source_verified</x:v>
      </x:c>
      <x:c r="Q143" s="11" t="str">
        <x:v>ใช้ด้ามต่อหัวพ่น เพื่อลดการยกแขนสูงหรือเอื้อมไกล</x:v>
      </x:c>
      <x:c r="R143" s="11" t="str">
        <x:v>Use an extension wand so the arm does not stay raised or overreached</x:v>
      </x:c>
    </x:row>
    <x:row r="144" ht="48" customHeight="1">
      <x:c r="A144" s="8" t="str">
        <x:v>act_transplant_low_stool.01</x:v>
      </x:c>
      <x:c r="B144" s="8" t="str">
        <x:v>act_transplant_low_stool</x:v>
      </x:c>
      <x:c r="C144" s="8" t="n">
        <x:v>1</x:v>
      </x:c>
      <x:c r="D144" s="8" t="str">
        <x:v>recommendation</x:v>
      </x:c>
      <x:c r="E144" s="11" t="str">
        <x:v>workloadSupport</x:v>
      </x:c>
      <x:c r="F144" s="11" t="str">
        <x:v>any</x:v>
      </x:c>
      <x:c r="G144" s="11" t="str">
        <x:v>any</x:v>
      </x:c>
      <x:c r="H144" s="11" t="str">
        <x:v>any</x:v>
      </x:c>
      <x:c r="I144" s="11" t="str">
        <x:v>selection_key_selected</x:v>
      </x:c>
      <x:c r="J144" s="11" t="str">
        <x:v>ใช้เก้าอี้เตี้ยหรือเบาะรองเข่า แทนการนั่งยองนาน ๆ</x:v>
      </x:c>
      <x:c r="K144" s="8" t="str">
        <x:v>app_recommendations_v3</x:v>
      </x:c>
      <x:c r="L144" s="8" t="str">
        <x:v>1</x:v>
      </x:c>
      <x:c r="M144" s="11" t="str">
        <x:v>Transplanting</x:v>
      </x:c>
      <x:c r="N144" s="11" t="n">
        <x:v>2</x:v>
      </x:c>
      <x:c r="O144" s="11" t="str">
        <x:v>2026-07-29.1</x:v>
      </x:c>
      <x:c r="P144" s="11" t="str">
        <x:v>source_verified</x:v>
      </x:c>
      <x:c r="Q144" s="11" t="str">
        <x:v>ใช้เก้าอี้เตี้ยหรือเบาะรองเข่า แทนการนั่งยองนาน ๆ</x:v>
      </x:c>
      <x:c r="R144" s="11" t="str">
        <x:v>Use a low stool or knee pad instead of squatting for long periods</x:v>
      </x:c>
    </x:row>
    <x:row r="145" ht="48" customHeight="1">
      <x:c r="A145" s="8" t="str">
        <x:v>act_transplant_raise_bed.01</x:v>
      </x:c>
      <x:c r="B145" s="8" t="str">
        <x:v>act_transplant_raise_bed</x:v>
      </x:c>
      <x:c r="C145" s="8" t="n">
        <x:v>1</x:v>
      </x:c>
      <x:c r="D145" s="8" t="str">
        <x:v>recommendation</x:v>
      </x:c>
      <x:c r="E145" s="11" t="str">
        <x:v>posture</x:v>
      </x:c>
      <x:c r="F145" s="11" t="str">
        <x:v>any</x:v>
      </x:c>
      <x:c r="G145" s="11" t="str">
        <x:v>any</x:v>
      </x:c>
      <x:c r="H145" s="11" t="str">
        <x:v>any</x:v>
      </x:c>
      <x:c r="I145" s="11" t="str">
        <x:v>selection_key_selected</x:v>
      </x:c>
      <x:c r="J145" s="11" t="str">
        <x:v>ยกถาดกล้าหรือพื้นที่ทำงานให้สูงขึ้น เพื่อลดการก้มหลังลึก</x:v>
      </x:c>
      <x:c r="K145" s="8" t="str">
        <x:v>app_recommendations_v3</x:v>
      </x:c>
      <x:c r="L145" s="8" t="str">
        <x:v>1</x:v>
      </x:c>
      <x:c r="M145" s="11" t="str">
        <x:v>Transplanting</x:v>
      </x:c>
      <x:c r="N145" s="11" t="n">
        <x:v>2</x:v>
      </x:c>
      <x:c r="O145" s="11" t="str">
        <x:v>2026-07-29.1</x:v>
      </x:c>
      <x:c r="P145" s="11" t="str">
        <x:v>source_verified</x:v>
      </x:c>
      <x:c r="Q145" s="11" t="str">
        <x:v>ยกถาดกล้าหรือพื้นที่ทำงานให้สูงขึ้น เพื่อลดการก้มหลังลึก</x:v>
      </x:c>
      <x:c r="R145" s="11" t="str">
        <x:v>Raise seedling trays or work height to reduce deep bending</x:v>
      </x:c>
    </x:row>
    <x:row r="146" ht="48" customHeight="1">
      <x:c r="A146" s="8" t="str">
        <x:v>act_transplant_ref_high.01</x:v>
      </x:c>
      <x:c r="B146" s="8" t="str">
        <x:v>act_transplant_ref_high</x:v>
      </x:c>
      <x:c r="C146" s="8" t="n">
        <x:v>1</x:v>
      </x:c>
      <x:c r="D146" s="8" t="str">
        <x:v>recommendation</x:v>
      </x:c>
      <x:c r="E146" s="11" t="str">
        <x:v>riskReduction</x:v>
      </x:c>
      <x:c r="F146" s="11" t="str">
        <x:v>transplanting</x:v>
      </x:c>
      <x:c r="G146" s="11" t="str">
        <x:v>any</x:v>
      </x:c>
      <x:c r="H146" s="11" t="str">
        <x:v>high</x:v>
      </x:c>
      <x:c r="I146" s="11" t="str">
        <x:v>activity_and_overall_risk_match</x:v>
      </x:c>
      <x:c r="J146" s="11" t="str">
        <x:v>ปรับปรุงทันทีโดยยกแปลงเพาะชำให้สูงระดับเอว</x:v>
      </x:c>
      <x:c r="K146" s="8" t="str">
        <x:v>app_recommendations_v3</x:v>
      </x:c>
      <x:c r="L146" s="8" t="str">
        <x:v>1</x:v>
      </x:c>
      <x:c r="M146" s="11" t="str">
        <x:v>act_transplant_ref_high</x:v>
      </x:c>
      <x:c r="N146" s="11" t="n">
        <x:v>2</x:v>
      </x:c>
      <x:c r="O146" s="11" t="str">
        <x:v>2026-07-29.1</x:v>
      </x:c>
      <x:c r="P146" s="11" t="str">
        <x:v>source_verified</x:v>
      </x:c>
      <x:c r="Q146" s="11" t="str">
        <x:v>ปรับปรุงทันที: ยกแปลงเพาะชำให้สูงระดับเอว ใช้อุปกรณ์นั่งยองหรือเก้าอี้เตี้ย และพักทุก 15-20 นาที</x:v>
      </x:c>
      <x:c r="R146" s="11" t="str">
        <x:v>Improve immediately: raise the seedling bed to waist level, use a low stool or squatting support, and rest every 15-20 minutes.</x:v>
      </x:c>
    </x:row>
    <x:row r="147" ht="48" customHeight="1">
      <x:c r="A147" s="8" t="str">
        <x:v>act_transplant_ref_high.02</x:v>
      </x:c>
      <x:c r="B147" s="8" t="str">
        <x:v>act_transplant_ref_high</x:v>
      </x:c>
      <x:c r="C147" s="8" t="n">
        <x:v>2</x:v>
      </x:c>
      <x:c r="D147" s="8" t="str">
        <x:v>recommendation</x:v>
      </x:c>
      <x:c r="E147" s="11" t="str">
        <x:v>riskReduction</x:v>
      </x:c>
      <x:c r="F147" s="11" t="str">
        <x:v>transplanting</x:v>
      </x:c>
      <x:c r="G147" s="11" t="str">
        <x:v>any</x:v>
      </x:c>
      <x:c r="H147" s="11" t="str">
        <x:v>high</x:v>
      </x:c>
      <x:c r="I147" s="11" t="str">
        <x:v>activity_and_overall_risk_match</x:v>
      </x:c>
      <x:c r="J147" s="11" t="str">
        <x:v>ใช้อุปกรณ์นั่งยองหรือเก้าอี้เตี้ย</x:v>
      </x:c>
      <x:c r="K147" s="8" t="str">
        <x:v>app_recommendations_v3</x:v>
      </x:c>
      <x:c r="L147" s="8" t="str">
        <x:v>1</x:v>
      </x:c>
      <x:c r="M147" s="11" t="str">
        <x:v>act_transplant_ref_high</x:v>
      </x:c>
      <x:c r="N147" s="11" t="n">
        <x:v>2</x:v>
      </x:c>
      <x:c r="O147" s="11" t="str">
        <x:v>2026-07-29.1</x:v>
      </x:c>
      <x:c r="P147" s="11" t="str">
        <x:v>source_verified</x:v>
      </x:c>
      <x:c r="Q147" s="11" t="str"/>
      <x:c r="R147" s="11" t="str"/>
    </x:row>
    <x:row r="148" ht="48" customHeight="1">
      <x:c r="A148" s="8" t="str">
        <x:v>act_transplant_ref_high.03</x:v>
      </x:c>
      <x:c r="B148" s="8" t="str">
        <x:v>act_transplant_ref_high</x:v>
      </x:c>
      <x:c r="C148" s="8" t="n">
        <x:v>3</x:v>
      </x:c>
      <x:c r="D148" s="8" t="str">
        <x:v>recommendation</x:v>
      </x:c>
      <x:c r="E148" s="11" t="str">
        <x:v>riskReduction</x:v>
      </x:c>
      <x:c r="F148" s="11" t="str">
        <x:v>transplanting</x:v>
      </x:c>
      <x:c r="G148" s="11" t="str">
        <x:v>any</x:v>
      </x:c>
      <x:c r="H148" s="11" t="str">
        <x:v>high</x:v>
      </x:c>
      <x:c r="I148" s="11" t="str">
        <x:v>activity_and_overall_risk_match</x:v>
      </x:c>
      <x:c r="J148" s="11" t="str">
        <x:v>พักทุก 15-20 นาที</x:v>
      </x:c>
      <x:c r="K148" s="8" t="str">
        <x:v>app_recommendations_v3</x:v>
      </x:c>
      <x:c r="L148" s="8" t="str">
        <x:v>1</x:v>
      </x:c>
      <x:c r="M148" s="11" t="str">
        <x:v>act_transplant_ref_high</x:v>
      </x:c>
      <x:c r="N148" s="11" t="n">
        <x:v>2</x:v>
      </x:c>
      <x:c r="O148" s="11" t="str">
        <x:v>2026-07-29.1</x:v>
      </x:c>
      <x:c r="P148" s="11" t="str">
        <x:v>source_verified</x:v>
      </x:c>
      <x:c r="Q148" s="11" t="str"/>
      <x:c r="R148" s="11" t="str"/>
    </x:row>
    <x:row r="149" ht="48" customHeight="1">
      <x:c r="A149" s="8" t="str">
        <x:v>act_transplant_ref_low.01</x:v>
      </x:c>
      <x:c r="B149" s="8" t="str">
        <x:v>act_transplant_ref_low</x:v>
      </x:c>
      <x:c r="C149" s="8" t="n">
        <x:v>1</x:v>
      </x:c>
      <x:c r="D149" s="8" t="str">
        <x:v>recommendation</x:v>
      </x:c>
      <x:c r="E149" s="11" t="str">
        <x:v>riskReduction</x:v>
      </x:c>
      <x:c r="F149" s="11" t="str">
        <x:v>transplanting</x:v>
      </x:c>
      <x:c r="G149" s="11" t="str">
        <x:v>any</x:v>
      </x:c>
      <x:c r="H149" s="11" t="str">
        <x:v>low</x:v>
      </x:c>
      <x:c r="I149" s="11" t="str">
        <x:v>activity_and_overall_risk_match</x:v>
      </x:c>
      <x:c r="J149" s="11" t="str">
        <x:v>ท่าทางดีอยู่แล้ว ควรสลับยืนกับนั่งยองทุก 20 นาที</x:v>
      </x:c>
      <x:c r="K149" s="8" t="str">
        <x:v>app_recommendations_v3</x:v>
      </x:c>
      <x:c r="L149" s="8" t="str">
        <x:v>1</x:v>
      </x:c>
      <x:c r="M149" s="11" t="str">
        <x:v>act_transplant_ref_low</x:v>
      </x:c>
      <x:c r="N149" s="11" t="n">
        <x:v>2</x:v>
      </x:c>
      <x:c r="O149" s="11" t="str">
        <x:v>2026-07-29.1</x:v>
      </x:c>
      <x:c r="P149" s="11" t="str">
        <x:v>source_verified</x:v>
      </x:c>
      <x:c r="Q149" s="11" t="str">
        <x:v>ท่าทางดีอยู่แล้ว ควรสลับยืนกับนั่งยองทุก 20 นาที และตรวจสอบความสูงของแปลงเพาะชำให้พอดีกับเอว</x:v>
      </x:c>
      <x:c r="R149" s="11" t="str">
        <x:v>Posture is acceptable. Alternate standing and squatting every 20 minutes and check seedling-bed height near waist level.</x:v>
      </x:c>
    </x:row>
    <x:row r="150" ht="48" customHeight="1">
      <x:c r="A150" s="8" t="str">
        <x:v>act_transplant_ref_low.02</x:v>
      </x:c>
      <x:c r="B150" s="8" t="str">
        <x:v>act_transplant_ref_low</x:v>
      </x:c>
      <x:c r="C150" s="8" t="n">
        <x:v>2</x:v>
      </x:c>
      <x:c r="D150" s="8" t="str">
        <x:v>recommendation</x:v>
      </x:c>
      <x:c r="E150" s="11" t="str">
        <x:v>riskReduction</x:v>
      </x:c>
      <x:c r="F150" s="11" t="str">
        <x:v>transplanting</x:v>
      </x:c>
      <x:c r="G150" s="11" t="str">
        <x:v>any</x:v>
      </x:c>
      <x:c r="H150" s="11" t="str">
        <x:v>low</x:v>
      </x:c>
      <x:c r="I150" s="11" t="str">
        <x:v>activity_and_overall_risk_match</x:v>
      </x:c>
      <x:c r="J150" s="11" t="str">
        <x:v>ตรวจสอบความสูงของแปลงเพาะชำให้พอดีกับเอว</x:v>
      </x:c>
      <x:c r="K150" s="8" t="str">
        <x:v>app_recommendations_v3</x:v>
      </x:c>
      <x:c r="L150" s="8" t="str">
        <x:v>1</x:v>
      </x:c>
      <x:c r="M150" s="11" t="str">
        <x:v>act_transplant_ref_low</x:v>
      </x:c>
      <x:c r="N150" s="11" t="n">
        <x:v>2</x:v>
      </x:c>
      <x:c r="O150" s="11" t="str">
        <x:v>2026-07-29.1</x:v>
      </x:c>
      <x:c r="P150" s="11" t="str">
        <x:v>source_verified</x:v>
      </x:c>
      <x:c r="Q150" s="11" t="str"/>
      <x:c r="R150" s="11" t="str"/>
    </x:row>
    <x:row r="151" ht="48" customHeight="1">
      <x:c r="A151" s="8" t="str">
        <x:v>act_transplant_ref_medium.01</x:v>
      </x:c>
      <x:c r="B151" s="8" t="str">
        <x:v>act_transplant_ref_medium</x:v>
      </x:c>
      <x:c r="C151" s="8" t="n">
        <x:v>1</x:v>
      </x:c>
      <x:c r="D151" s="8" t="str">
        <x:v>recommendation</x:v>
      </x:c>
      <x:c r="E151" s="11" t="str">
        <x:v>riskReduction</x:v>
      </x:c>
      <x:c r="F151" s="11" t="str">
        <x:v>transplanting</x:v>
      </x:c>
      <x:c r="G151" s="11" t="str">
        <x:v>any</x:v>
      </x:c>
      <x:c r="H151" s="11" t="str">
        <x:v>medium</x:v>
      </x:c>
      <x:c r="I151" s="11" t="str">
        <x:v>activity_and_overall_risk_match</x:v>
      </x:c>
      <x:c r="J151" s="11" t="str">
        <x:v>ลดการก้มโดยยกแปลงเพาะชำให้สูงขึ้น</x:v>
      </x:c>
      <x:c r="K151" s="8" t="str">
        <x:v>app_recommendations_v3</x:v>
      </x:c>
      <x:c r="L151" s="8" t="str">
        <x:v>1</x:v>
      </x:c>
      <x:c r="M151" s="11" t="str">
        <x:v>act_transplant_ref_medium</x:v>
      </x:c>
      <x:c r="N151" s="11" t="n">
        <x:v>2</x:v>
      </x:c>
      <x:c r="O151" s="11" t="str">
        <x:v>2026-07-29.1</x:v>
      </x:c>
      <x:c r="P151" s="11" t="str">
        <x:v>source_verified</x:v>
      </x:c>
      <x:c r="Q151" s="11" t="str">
        <x:v>ลดการก้มโดยยกแปลงเพาะชำให้สูงขึ้น ใช้เบาะรองนั่งยองหรือเก้าอี้เตี้ย สลับท่าทุก 15 นาที และฝึกยกต้นกล้าโดยใช้ขา</x:v>
      </x:c>
      <x:c r="R151" s="11" t="str">
        <x:v>Raise the seedling bed to reduce bending, use a squat cushion or low stool, change posture every 15 minutes, and lift seedlings with the legs.</x:v>
      </x:c>
    </x:row>
    <x:row r="152" ht="48" customHeight="1">
      <x:c r="A152" s="8" t="str">
        <x:v>act_transplant_ref_medium.02</x:v>
      </x:c>
      <x:c r="B152" s="8" t="str">
        <x:v>act_transplant_ref_medium</x:v>
      </x:c>
      <x:c r="C152" s="8" t="n">
        <x:v>2</x:v>
      </x:c>
      <x:c r="D152" s="8" t="str">
        <x:v>recommendation</x:v>
      </x:c>
      <x:c r="E152" s="11" t="str">
        <x:v>riskReduction</x:v>
      </x:c>
      <x:c r="F152" s="11" t="str">
        <x:v>transplanting</x:v>
      </x:c>
      <x:c r="G152" s="11" t="str">
        <x:v>any</x:v>
      </x:c>
      <x:c r="H152" s="11" t="str">
        <x:v>medium</x:v>
      </x:c>
      <x:c r="I152" s="11" t="str">
        <x:v>activity_and_overall_risk_match</x:v>
      </x:c>
      <x:c r="J152" s="11" t="str">
        <x:v>ใช้เบาะรองนั่งยองหรือเก้าอี้เตี้ย</x:v>
      </x:c>
      <x:c r="K152" s="8" t="str">
        <x:v>app_recommendations_v3</x:v>
      </x:c>
      <x:c r="L152" s="8" t="str">
        <x:v>1</x:v>
      </x:c>
      <x:c r="M152" s="11" t="str">
        <x:v>act_transplant_ref_medium</x:v>
      </x:c>
      <x:c r="N152" s="11" t="n">
        <x:v>2</x:v>
      </x:c>
      <x:c r="O152" s="11" t="str">
        <x:v>2026-07-29.1</x:v>
      </x:c>
      <x:c r="P152" s="11" t="str">
        <x:v>source_verified</x:v>
      </x:c>
      <x:c r="Q152" s="11" t="str"/>
      <x:c r="R152" s="11" t="str"/>
    </x:row>
    <x:row r="153" ht="48" customHeight="1">
      <x:c r="A153" s="8" t="str">
        <x:v>act_transplant_ref_medium.03</x:v>
      </x:c>
      <x:c r="B153" s="8" t="str">
        <x:v>act_transplant_ref_medium</x:v>
      </x:c>
      <x:c r="C153" s="8" t="n">
        <x:v>3</x:v>
      </x:c>
      <x:c r="D153" s="8" t="str">
        <x:v>recommendation</x:v>
      </x:c>
      <x:c r="E153" s="11" t="str">
        <x:v>riskReduction</x:v>
      </x:c>
      <x:c r="F153" s="11" t="str">
        <x:v>transplanting</x:v>
      </x:c>
      <x:c r="G153" s="11" t="str">
        <x:v>any</x:v>
      </x:c>
      <x:c r="H153" s="11" t="str">
        <x:v>medium</x:v>
      </x:c>
      <x:c r="I153" s="11" t="str">
        <x:v>activity_and_overall_risk_match</x:v>
      </x:c>
      <x:c r="J153" s="11" t="str">
        <x:v>สลับท่าทุก 15 นาที และฝึกยกต้นกล้าโดยใช้ขา</x:v>
      </x:c>
      <x:c r="K153" s="8" t="str">
        <x:v>app_recommendations_v3</x:v>
      </x:c>
      <x:c r="L153" s="8" t="str">
        <x:v>1</x:v>
      </x:c>
      <x:c r="M153" s="11" t="str">
        <x:v>act_transplant_ref_medium</x:v>
      </x:c>
      <x:c r="N153" s="11" t="n">
        <x:v>2</x:v>
      </x:c>
      <x:c r="O153" s="11" t="str">
        <x:v>2026-07-29.1</x:v>
      </x:c>
      <x:c r="P153" s="11" t="str">
        <x:v>source_verified</x:v>
      </x:c>
      <x:c r="Q153" s="11" t="str"/>
      <x:c r="R153" s="11" t="str"/>
    </x:row>
    <x:row r="154" ht="48" customHeight="1">
      <x:c r="A154" s="8" t="str">
        <x:v>act_transport_clear_path.01</x:v>
      </x:c>
      <x:c r="B154" s="8" t="str">
        <x:v>act_transport_clear_path</x:v>
      </x:c>
      <x:c r="C154" s="8" t="n">
        <x:v>1</x:v>
      </x:c>
      <x:c r="D154" s="8" t="str">
        <x:v>recommendation</x:v>
      </x:c>
      <x:c r="E154" s="11" t="str">
        <x:v>posture</x:v>
      </x:c>
      <x:c r="F154" s="11" t="str">
        <x:v>any</x:v>
      </x:c>
      <x:c r="G154" s="11" t="str">
        <x:v>any</x:v>
      </x:c>
      <x:c r="H154" s="11" t="str">
        <x:v>any</x:v>
      </x:c>
      <x:c r="I154" s="11" t="str">
        <x:v>selection_key_selected</x:v>
      </x:c>
      <x:c r="J154" s="11" t="str">
        <x:v>จัดทางเดินให้เรียบและไม่มีสิ่งกีดขวางก่อนขนย้าย</x:v>
      </x:c>
      <x:c r="K154" s="8" t="str">
        <x:v>ilo_ergonomic_checkpoints_agriculture</x:v>
      </x:c>
      <x:c r="L154" s="8" t="str">
        <x:v>29</x:v>
      </x:c>
      <x:c r="M154" s="11" t="str">
        <x:v>Checkpoint 1</x:v>
      </x:c>
      <x:c r="N154" s="11" t="n">
        <x:v>3</x:v>
      </x:c>
      <x:c r="O154" s="11" t="str">
        <x:v>2026-07-29.1</x:v>
      </x:c>
      <x:c r="P154" s="11" t="str">
        <x:v>source_verified</x:v>
      </x:c>
      <x:c r="Q154" s="11" t="str">
        <x:v>จัดทางเดินให้เรียบและไม่มีสิ่งกีดขวางก่อนขนย้าย</x:v>
      </x:c>
      <x:c r="R154" s="11" t="str">
        <x:v>Clear the path and keep the walking surface even before transport</x:v>
      </x:c>
    </x:row>
    <x:row r="155" ht="48" customHeight="1">
      <x:c r="A155" s="8" t="str">
        <x:v>act_transport_ref_high.01</x:v>
      </x:c>
      <x:c r="B155" s="8" t="str">
        <x:v>act_transport_ref_high</x:v>
      </x:c>
      <x:c r="C155" s="8" t="n">
        <x:v>1</x:v>
      </x:c>
      <x:c r="D155" s="8" t="str">
        <x:v>recommendation</x:v>
      </x:c>
      <x:c r="E155" s="11" t="str">
        <x:v>riskReduction</x:v>
      </x:c>
      <x:c r="F155" s="11" t="str">
        <x:v>transport</x:v>
      </x:c>
      <x:c r="G155" s="11" t="str">
        <x:v>any</x:v>
      </x:c>
      <x:c r="H155" s="11" t="str">
        <x:v>high</x:v>
      </x:c>
      <x:c r="I155" s="11" t="str">
        <x:v>activity_and_overall_risk_match</x:v>
      </x:c>
      <x:c r="J155" s="11" t="str">
        <x:v>ลดน้ำหนักกระสอบ</x:v>
      </x:c>
      <x:c r="K155" s="8" t="str">
        <x:v>app_recommendations_v3</x:v>
      </x:c>
      <x:c r="L155" s="8" t="str">
        <x:v>3</x:v>
      </x:c>
      <x:c r="M155" s="11" t="str">
        <x:v>act_transport_ref_high</x:v>
      </x:c>
      <x:c r="N155" s="11" t="n">
        <x:v>2</x:v>
      </x:c>
      <x:c r="O155" s="11" t="str">
        <x:v>2026-07-29.1</x:v>
      </x:c>
      <x:c r="P155" s="11" t="str">
        <x:v>source_verified</x:v>
      </x:c>
      <x:c r="Q155" s="11" t="str">
        <x:v>ลดน้ำหนักกระสอบ ใช้เกวียนหรือรถเข็นล้อใหญ่ ปูพื้นกันลื่น จัดพัก 10-15 นาทีทุก 30 นาที และฝึกเทคนิคการยกที่ถูกต้องร่วมกับเพื่อน</x:v>
      </x:c>
      <x:c r="R155" s="11" t="str">
        <x:v>Reduce sack weight, use a wagon or large-wheel cart, add non-slip flooring, rest 10-15 minutes every 30 minutes, and practice team lifting technique.</x:v>
      </x:c>
    </x:row>
    <x:row r="156" ht="48" customHeight="1">
      <x:c r="A156" s="8" t="str">
        <x:v>act_transport_ref_high.02</x:v>
      </x:c>
      <x:c r="B156" s="8" t="str">
        <x:v>act_transport_ref_high</x:v>
      </x:c>
      <x:c r="C156" s="8" t="n">
        <x:v>2</x:v>
      </x:c>
      <x:c r="D156" s="8" t="str">
        <x:v>recommendation</x:v>
      </x:c>
      <x:c r="E156" s="11" t="str">
        <x:v>riskReduction</x:v>
      </x:c>
      <x:c r="F156" s="11" t="str">
        <x:v>transport</x:v>
      </x:c>
      <x:c r="G156" s="11" t="str">
        <x:v>any</x:v>
      </x:c>
      <x:c r="H156" s="11" t="str">
        <x:v>high</x:v>
      </x:c>
      <x:c r="I156" s="11" t="str">
        <x:v>activity_and_overall_risk_match</x:v>
      </x:c>
      <x:c r="J156" s="11" t="str">
        <x:v>ใช้เกวียนหรือรถเข็นล้อใหญ่ ปูพื้นกันลื่น</x:v>
      </x:c>
      <x:c r="K156" s="8" t="str">
        <x:v>app_recommendations_v3</x:v>
      </x:c>
      <x:c r="L156" s="8" t="str">
        <x:v>3</x:v>
      </x:c>
      <x:c r="M156" s="11" t="str">
        <x:v>act_transport_ref_high</x:v>
      </x:c>
      <x:c r="N156" s="11" t="n">
        <x:v>2</x:v>
      </x:c>
      <x:c r="O156" s="11" t="str">
        <x:v>2026-07-29.1</x:v>
      </x:c>
      <x:c r="P156" s="11" t="str">
        <x:v>source_verified</x:v>
      </x:c>
      <x:c r="Q156" s="11" t="str"/>
      <x:c r="R156" s="11" t="str"/>
    </x:row>
    <x:row r="157" ht="48" customHeight="1">
      <x:c r="A157" s="8" t="str">
        <x:v>act_transport_ref_high.03</x:v>
      </x:c>
      <x:c r="B157" s="8" t="str">
        <x:v>act_transport_ref_high</x:v>
      </x:c>
      <x:c r="C157" s="8" t="n">
        <x:v>3</x:v>
      </x:c>
      <x:c r="D157" s="8" t="str">
        <x:v>recommendation</x:v>
      </x:c>
      <x:c r="E157" s="11" t="str">
        <x:v>riskReduction</x:v>
      </x:c>
      <x:c r="F157" s="11" t="str">
        <x:v>transport</x:v>
      </x:c>
      <x:c r="G157" s="11" t="str">
        <x:v>any</x:v>
      </x:c>
      <x:c r="H157" s="11" t="str">
        <x:v>high</x:v>
      </x:c>
      <x:c r="I157" s="11" t="str">
        <x:v>activity_and_overall_risk_match</x:v>
      </x:c>
      <x:c r="J157" s="11" t="str">
        <x:v>จัดพัก 10-15 นาทีทุก 30 นาที และฝึกเทคนิคการยกที่ถูกต้องร่วมกับเพื่อน</x:v>
      </x:c>
      <x:c r="K157" s="8" t="str">
        <x:v>app_recommendations_v3</x:v>
      </x:c>
      <x:c r="L157" s="8" t="str">
        <x:v>3</x:v>
      </x:c>
      <x:c r="M157" s="11" t="str">
        <x:v>act_transport_ref_high</x:v>
      </x:c>
      <x:c r="N157" s="11" t="n">
        <x:v>2</x:v>
      </x:c>
      <x:c r="O157" s="11" t="str">
        <x:v>2026-07-29.1</x:v>
      </x:c>
      <x:c r="P157" s="11" t="str">
        <x:v>source_verified</x:v>
      </x:c>
      <x:c r="Q157" s="11" t="str"/>
      <x:c r="R157" s="11" t="str"/>
    </x:row>
    <x:row r="158" ht="48" customHeight="1">
      <x:c r="A158" s="8" t="str">
        <x:v>act_transport_ref_low.01</x:v>
      </x:c>
      <x:c r="B158" s="8" t="str">
        <x:v>act_transport_ref_low</x:v>
      </x:c>
      <x:c r="C158" s="8" t="n">
        <x:v>1</x:v>
      </x:c>
      <x:c r="D158" s="8" t="str">
        <x:v>recommendation</x:v>
      </x:c>
      <x:c r="E158" s="11" t="str">
        <x:v>riskReduction</x:v>
      </x:c>
      <x:c r="F158" s="11" t="str">
        <x:v>transport</x:v>
      </x:c>
      <x:c r="G158" s="11" t="str">
        <x:v>any</x:v>
      </x:c>
      <x:c r="H158" s="11" t="str">
        <x:v>low</x:v>
      </x:c>
      <x:c r="I158" s="11" t="str">
        <x:v>activity_and_overall_risk_match</x:v>
      </x:c>
      <x:c r="J158" s="11" t="str">
        <x:v>ใช้รถเข็นทุกครั้ง</x:v>
      </x:c>
      <x:c r="K158" s="8" t="str">
        <x:v>app_recommendations_v3</x:v>
      </x:c>
      <x:c r="L158" s="8" t="str">
        <x:v>3</x:v>
      </x:c>
      <x:c r="M158" s="11" t="str">
        <x:v>act_transport_ref_low</x:v>
      </x:c>
      <x:c r="N158" s="11" t="n">
        <x:v>2</x:v>
      </x:c>
      <x:c r="O158" s="11" t="str">
        <x:v>2026-07-29.1</x:v>
      </x:c>
      <x:c r="P158" s="11" t="str">
        <x:v>source_verified</x:v>
      </x:c>
      <x:c r="Q158" s="11" t="str">
        <x:v>ใช้รถเข็นทุกครั้ง ยกของโดยงอเข่า หลังตรง ไม่บิดตัว และสวมรองเท้ากันลื่น</x:v>
      </x:c>
      <x:c r="R158" s="11" t="str">
        <x:v>Use a cart every time, lift by bending the knees with a straight back, avoid twisting, and wear non-slip footwear.</x:v>
      </x:c>
    </x:row>
    <x:row r="159" ht="48" customHeight="1">
      <x:c r="A159" s="8" t="str">
        <x:v>act_transport_ref_low.02</x:v>
      </x:c>
      <x:c r="B159" s="8" t="str">
        <x:v>act_transport_ref_low</x:v>
      </x:c>
      <x:c r="C159" s="8" t="n">
        <x:v>2</x:v>
      </x:c>
      <x:c r="D159" s="8" t="str">
        <x:v>recommendation</x:v>
      </x:c>
      <x:c r="E159" s="11" t="str">
        <x:v>riskReduction</x:v>
      </x:c>
      <x:c r="F159" s="11" t="str">
        <x:v>transport</x:v>
      </x:c>
      <x:c r="G159" s="11" t="str">
        <x:v>any</x:v>
      </x:c>
      <x:c r="H159" s="11" t="str">
        <x:v>low</x:v>
      </x:c>
      <x:c r="I159" s="11" t="str">
        <x:v>activity_and_overall_risk_match</x:v>
      </x:c>
      <x:c r="J159" s="11" t="str">
        <x:v>ยกของโดยงอเข่า หลังตรง ไม่บิดตัว และสวมรองเท้ากันลื่น</x:v>
      </x:c>
      <x:c r="K159" s="8" t="str">
        <x:v>app_recommendations_v3</x:v>
      </x:c>
      <x:c r="L159" s="8" t="str">
        <x:v>3</x:v>
      </x:c>
      <x:c r="M159" s="11" t="str">
        <x:v>act_transport_ref_low</x:v>
      </x:c>
      <x:c r="N159" s="11" t="n">
        <x:v>2</x:v>
      </x:c>
      <x:c r="O159" s="11" t="str">
        <x:v>2026-07-29.1</x:v>
      </x:c>
      <x:c r="P159" s="11" t="str">
        <x:v>source_verified</x:v>
      </x:c>
      <x:c r="Q159" s="11" t="str"/>
      <x:c r="R159" s="11" t="str"/>
    </x:row>
    <x:row r="160" ht="48" customHeight="1">
      <x:c r="A160" s="8" t="str">
        <x:v>act_transport_ref_medium.01</x:v>
      </x:c>
      <x:c r="B160" s="8" t="str">
        <x:v>act_transport_ref_medium</x:v>
      </x:c>
      <x:c r="C160" s="8" t="n">
        <x:v>1</x:v>
      </x:c>
      <x:c r="D160" s="8" t="str">
        <x:v>recommendation</x:v>
      </x:c>
      <x:c r="E160" s="11" t="str">
        <x:v>riskReduction</x:v>
      </x:c>
      <x:c r="F160" s="11" t="str">
        <x:v>transport</x:v>
      </x:c>
      <x:c r="G160" s="11" t="str">
        <x:v>any</x:v>
      </x:c>
      <x:c r="H160" s="11" t="str">
        <x:v>medium</x:v>
      </x:c>
      <x:c r="I160" s="11" t="str">
        <x:v>activity_and_overall_risk_match</x:v>
      </x:c>
      <x:c r="J160" s="11" t="str">
        <x:v>ลดน้ำหนักกระสอบ</x:v>
      </x:c>
      <x:c r="K160" s="8" t="str">
        <x:v>app_recommendations_v3</x:v>
      </x:c>
      <x:c r="L160" s="8" t="str">
        <x:v>3</x:v>
      </x:c>
      <x:c r="M160" s="11" t="str">
        <x:v>act_transport_ref_medium</x:v>
      </x:c>
      <x:c r="N160" s="11" t="n">
        <x:v>2</x:v>
      </x:c>
      <x:c r="O160" s="11" t="str">
        <x:v>2026-07-29.1</x:v>
      </x:c>
      <x:c r="P160" s="11" t="str">
        <x:v>source_verified</x:v>
      </x:c>
      <x:c r="Q160" s="11" t="str">
        <x:v>ลดน้ำหนักกระสอบ ใช้รถเข็น ปรับปรุงทางเดิน และเปลี่ยนทิศทางโดยหมุนเท้าแทนการบิดเอว</x:v>
      </x:c>
      <x:c r="R160" s="11" t="str">
        <x:v>Reduce sack weight, use a cart, improve the path, and turn with the feet instead of twisting the waist.</x:v>
      </x:c>
    </x:row>
    <x:row r="161" ht="48" customHeight="1">
      <x:c r="A161" s="8" t="str">
        <x:v>act_transport_ref_medium.02</x:v>
      </x:c>
      <x:c r="B161" s="8" t="str">
        <x:v>act_transport_ref_medium</x:v>
      </x:c>
      <x:c r="C161" s="8" t="n">
        <x:v>2</x:v>
      </x:c>
      <x:c r="D161" s="8" t="str">
        <x:v>recommendation</x:v>
      </x:c>
      <x:c r="E161" s="11" t="str">
        <x:v>riskReduction</x:v>
      </x:c>
      <x:c r="F161" s="11" t="str">
        <x:v>transport</x:v>
      </x:c>
      <x:c r="G161" s="11" t="str">
        <x:v>any</x:v>
      </x:c>
      <x:c r="H161" s="11" t="str">
        <x:v>medium</x:v>
      </x:c>
      <x:c r="I161" s="11" t="str">
        <x:v>activity_and_overall_risk_match</x:v>
      </x:c>
      <x:c r="J161" s="11" t="str">
        <x:v>ใช้รถเข็น</x:v>
      </x:c>
      <x:c r="K161" s="8" t="str">
        <x:v>app_recommendations_v3</x:v>
      </x:c>
      <x:c r="L161" s="8" t="str">
        <x:v>3</x:v>
      </x:c>
      <x:c r="M161" s="11" t="str">
        <x:v>act_transport_ref_medium</x:v>
      </x:c>
      <x:c r="N161" s="11" t="n">
        <x:v>2</x:v>
      </x:c>
      <x:c r="O161" s="11" t="str">
        <x:v>2026-07-29.1</x:v>
      </x:c>
      <x:c r="P161" s="11" t="str">
        <x:v>source_verified</x:v>
      </x:c>
      <x:c r="Q161" s="11" t="str"/>
      <x:c r="R161" s="11" t="str"/>
    </x:row>
    <x:row r="162" ht="48" customHeight="1">
      <x:c r="A162" s="8" t="str">
        <x:v>act_transport_ref_medium.03</x:v>
      </x:c>
      <x:c r="B162" s="8" t="str">
        <x:v>act_transport_ref_medium</x:v>
      </x:c>
      <x:c r="C162" s="8" t="n">
        <x:v>3</x:v>
      </x:c>
      <x:c r="D162" s="8" t="str">
        <x:v>recommendation</x:v>
      </x:c>
      <x:c r="E162" s="11" t="str">
        <x:v>riskReduction</x:v>
      </x:c>
      <x:c r="F162" s="11" t="str">
        <x:v>transport</x:v>
      </x:c>
      <x:c r="G162" s="11" t="str">
        <x:v>any</x:v>
      </x:c>
      <x:c r="H162" s="11" t="str">
        <x:v>medium</x:v>
      </x:c>
      <x:c r="I162" s="11" t="str">
        <x:v>activity_and_overall_risk_match</x:v>
      </x:c>
      <x:c r="J162" s="11" t="str">
        <x:v>ปรับปรุงทางเดิน</x:v>
      </x:c>
      <x:c r="K162" s="8" t="str">
        <x:v>app_recommendations_v3</x:v>
      </x:c>
      <x:c r="L162" s="8" t="str">
        <x:v>3</x:v>
      </x:c>
      <x:c r="M162" s="11" t="str">
        <x:v>act_transport_ref_medium</x:v>
      </x:c>
      <x:c r="N162" s="11" t="n">
        <x:v>2</x:v>
      </x:c>
      <x:c r="O162" s="11" t="str">
        <x:v>2026-07-29.1</x:v>
      </x:c>
      <x:c r="P162" s="11" t="str">
        <x:v>source_verified</x:v>
      </x:c>
      <x:c r="Q162" s="11" t="str"/>
      <x:c r="R162" s="11" t="str"/>
    </x:row>
    <x:row r="163" ht="48" customHeight="1">
      <x:c r="A163" s="8" t="str">
        <x:v>act_transport_ref_medium.04</x:v>
      </x:c>
      <x:c r="B163" s="8" t="str">
        <x:v>act_transport_ref_medium</x:v>
      </x:c>
      <x:c r="C163" s="8" t="n">
        <x:v>4</x:v>
      </x:c>
      <x:c r="D163" s="8" t="str">
        <x:v>recommendation</x:v>
      </x:c>
      <x:c r="E163" s="11" t="str">
        <x:v>riskReduction</x:v>
      </x:c>
      <x:c r="F163" s="11" t="str">
        <x:v>transport</x:v>
      </x:c>
      <x:c r="G163" s="11" t="str">
        <x:v>any</x:v>
      </x:c>
      <x:c r="H163" s="11" t="str">
        <x:v>medium</x:v>
      </x:c>
      <x:c r="I163" s="11" t="str">
        <x:v>activity_and_overall_risk_match</x:v>
      </x:c>
      <x:c r="J163" s="11" t="str">
        <x:v>เปลี่ยนทิศทางโดยหมุนเท้าแทนการบิดเอว</x:v>
      </x:c>
      <x:c r="K163" s="8" t="str">
        <x:v>app_recommendations_v3</x:v>
      </x:c>
      <x:c r="L163" s="8" t="str">
        <x:v>3</x:v>
      </x:c>
      <x:c r="M163" s="11" t="str">
        <x:v>act_transport_ref_medium</x:v>
      </x:c>
      <x:c r="N163" s="11" t="n">
        <x:v>2</x:v>
      </x:c>
      <x:c r="O163" s="11" t="str">
        <x:v>2026-07-29.1</x:v>
      </x:c>
      <x:c r="P163" s="11" t="str">
        <x:v>source_verified</x:v>
      </x:c>
      <x:c r="Q163" s="11" t="str"/>
      <x:c r="R163" s="11" t="str"/>
    </x:row>
    <x:row r="164" ht="48" customHeight="1">
      <x:c r="A164" s="8" t="str">
        <x:v>act_transport_two_person.01</x:v>
      </x:c>
      <x:c r="B164" s="8" t="str">
        <x:v>act_transport_two_person</x:v>
      </x:c>
      <x:c r="C164" s="8" t="n">
        <x:v>1</x:v>
      </x:c>
      <x:c r="D164" s="8" t="str">
        <x:v>recommendation</x:v>
      </x:c>
      <x:c r="E164" s="11" t="str">
        <x:v>posture</x:v>
      </x:c>
      <x:c r="F164" s="11" t="str">
        <x:v>any</x:v>
      </x:c>
      <x:c r="G164" s="11" t="str">
        <x:v>any</x:v>
      </x:c>
      <x:c r="H164" s="11" t="str">
        <x:v>any</x:v>
      </x:c>
      <x:c r="I164" s="11" t="str">
        <x:v>selection_key_selected</x:v>
      </x:c>
      <x:c r="J164" s="11" t="str">
        <x:v>ให้คนช่วยยกเมื่อผลผลิตหนักเกินไป</x:v>
      </x:c>
      <x:c r="K164" s="8" t="str">
        <x:v>body_map_recommendations</x:v>
      </x:c>
      <x:c r="L164" s="8" t="str">
        <x:v>8</x:v>
      </x:c>
      <x:c r="M164" s="11" t="str">
        <x:v>Manual handling</x:v>
      </x:c>
      <x:c r="N164" s="11" t="n">
        <x:v>1</x:v>
      </x:c>
      <x:c r="O164" s="11" t="str">
        <x:v>2026-07-29.1</x:v>
      </x:c>
      <x:c r="P164" s="11" t="str">
        <x:v>source_verified</x:v>
      </x:c>
      <x:c r="Q164" s="11" t="str">
        <x:v>ให้คนช่วยยกเมื่อผลผลิตหนักเกินไป</x:v>
      </x:c>
      <x:c r="R164" s="11" t="str">
        <x:v>Ask another person to help lift heavy produce when needed</x:v>
      </x:c>
    </x:row>
    <x:row r="165" ht="48" customHeight="1">
      <x:c r="A165" s="8" t="str">
        <x:v>act_use_cart_distance.01</x:v>
      </x:c>
      <x:c r="B165" s="8" t="str">
        <x:v>act_use_cart_distance</x:v>
      </x:c>
      <x:c r="C165" s="8" t="n">
        <x:v>1</x:v>
      </x:c>
      <x:c r="D165" s="8" t="str">
        <x:v>recommendation</x:v>
      </x:c>
      <x:c r="E165" s="11" t="str">
        <x:v>workloadSupport</x:v>
      </x:c>
      <x:c r="F165" s="11" t="str">
        <x:v>any</x:v>
      </x:c>
      <x:c r="G165" s="11" t="str">
        <x:v>any</x:v>
      </x:c>
      <x:c r="H165" s="11" t="str">
        <x:v>any</x:v>
      </x:c>
      <x:c r="I165" s="11" t="str">
        <x:v>selection_key_selected</x:v>
      </x:c>
      <x:c r="J165" s="11" t="str">
        <x:v>ใช้รถเข็นหรืออุปกรณ์ช่วยขนย้ายเมื่อต้องขนไกล</x:v>
      </x:c>
      <x:c r="K165" s="8" t="str">
        <x:v>body_map_recommendations</x:v>
      </x:c>
      <x:c r="L165" s="8" t="str">
        <x:v>3,8</x:v>
      </x:c>
      <x:c r="M165" s="11" t="str">
        <x:v>Cart distance</x:v>
      </x:c>
      <x:c r="N165" s="11" t="n">
        <x:v>1</x:v>
      </x:c>
      <x:c r="O165" s="11" t="str">
        <x:v>2026-07-29.1</x:v>
      </x:c>
      <x:c r="P165" s="11" t="str">
        <x:v>source_verified</x:v>
      </x:c>
      <x:c r="Q165" s="11" t="str">
        <x:v>ใช้รถเข็นหรืออุปกรณ์ช่วยขนย้ายเมื่อต้องขนไกล</x:v>
      </x:c>
      <x:c r="R165" s="11" t="str">
        <x:v>Use a cart or handling aid for long distance transport</x:v>
      </x:c>
    </x:row>
    <x:row r="166" ht="48" customHeight="1">
      <x:c r="A166" s="8" t="str">
        <x:v>act_use_legs.01</x:v>
      </x:c>
      <x:c r="B166" s="8" t="str">
        <x:v>act_use_legs</x:v>
      </x:c>
      <x:c r="C166" s="8" t="n">
        <x:v>1</x:v>
      </x:c>
      <x:c r="D166" s="8" t="str">
        <x:v>recommendation</x:v>
      </x:c>
      <x:c r="E166" s="11" t="str">
        <x:v>posture</x:v>
      </x:c>
      <x:c r="F166" s="11" t="str">
        <x:v>any</x:v>
      </x:c>
      <x:c r="G166" s="11" t="str">
        <x:v>any</x:v>
      </x:c>
      <x:c r="H166" s="11" t="str">
        <x:v>any</x:v>
      </x:c>
      <x:c r="I166" s="11" t="str">
        <x:v>selection_key_selected</x:v>
      </x:c>
      <x:c r="J166" s="11" t="str">
        <x:v>ใช้แรงจากขาในการออกแรง ไม่ใช่หลัง</x:v>
      </x:c>
      <x:c r="K166" s="8" t="str">
        <x:v>app_recommendations_v3</x:v>
      </x:c>
      <x:c r="L166" s="8" t="str">
        <x:v>1,3</x:v>
      </x:c>
      <x:c r="M166" s="11" t="str">
        <x:v>Lifting posture</x:v>
      </x:c>
      <x:c r="N166" s="11" t="n">
        <x:v>2</x:v>
      </x:c>
      <x:c r="O166" s="11" t="str">
        <x:v>2026-07-29.1</x:v>
      </x:c>
      <x:c r="P166" s="11" t="str">
        <x:v>source_verified</x:v>
      </x:c>
      <x:c r="Q166" s="11" t="str">
        <x:v>ใช้แรงจากขาในการออกแรง ไม่ใช่หลัง</x:v>
      </x:c>
      <x:c r="R166" s="11" t="str">
        <x:v>Use leg muscles, not back</x:v>
      </x:c>
    </x:row>
    <x:row r="167" ht="48" customHeight="1">
      <x:c r="A167" s="8" t="str">
        <x:v>ui.recommendations.heading</x:v>
      </x:c>
      <x:c r="B167" s="8" t="str">
        <x:v>ui.recommendations.heading</x:v>
      </x:c>
      <x:c r="C167" s="8" t="n">
        <x:v>1</x:v>
      </x:c>
      <x:c r="D167" s="8" t="str">
        <x:v>ui_copy</x:v>
      </x:c>
      <x:c r="E167" s="11" t="str">
        <x:v>interface</x:v>
      </x:c>
      <x:c r="F167" s="11" t="str">
        <x:v>any</x:v>
      </x:c>
      <x:c r="G167" s="11" t="str">
        <x:v>any</x:v>
      </x:c>
      <x:c r="H167" s="11" t="str">
        <x:v>any</x:v>
      </x:c>
      <x:c r="I167" s="11" t="str">
        <x:v>feature_surface_visible</x:v>
      </x:c>
      <x:c r="J167" s="11" t="str">
        <x:v>คำแนะนำตามกิจกรรมและความเสี่ยง</x:v>
      </x:c>
      <x:c r="K167" s="8" t="str">
        <x:v>current_app_recommendation_copy</x:v>
      </x:c>
      <x:c r="L167" s="8" t="str"/>
      <x:c r="M167" s="11" t="str">
        <x:v>Existing recommendation UI or migration message</x:v>
      </x:c>
      <x:c r="N167" s="11" t="n">
        <x:v>90</x:v>
      </x:c>
      <x:c r="O167" s="11" t="str">
        <x:v>2026-07-29.1</x:v>
      </x:c>
      <x:c r="P167" s="11" t="str">
        <x:v>source_verified</x:v>
      </x:c>
      <x:c r="Q167" s="11" t="str"/>
      <x:c r="R167" s="11" t="str"/>
    </x:row>
    <x:row r="168" ht="48" customHeight="1">
      <x:c r="A168" s="8" t="str">
        <x:v>ui.recommendations.instruction</x:v>
      </x:c>
      <x:c r="B168" s="8" t="str">
        <x:v>ui.recommendations.instruction</x:v>
      </x:c>
      <x:c r="C168" s="8" t="n">
        <x:v>1</x:v>
      </x:c>
      <x:c r="D168" s="8" t="str">
        <x:v>ui_copy</x:v>
      </x:c>
      <x:c r="E168" s="11" t="str">
        <x:v>interface</x:v>
      </x:c>
      <x:c r="F168" s="11" t="str">
        <x:v>any</x:v>
      </x:c>
      <x:c r="G168" s="11" t="str">
        <x:v>any</x:v>
      </x:c>
      <x:c r="H168" s="11" t="str">
        <x:v>any</x:v>
      </x:c>
      <x:c r="I168" s="11" t="str">
        <x:v>feature_surface_visible</x:v>
      </x:c>
      <x:c r="J168" s="11" t="str">
        <x:v>เริ่มจากข้อที่ทำได้จริงในงานนี้ แล้วติดตามคะแนนครั้งถัดไป</x:v>
      </x:c>
      <x:c r="K168" s="8" t="str">
        <x:v>current_app_recommendation_copy</x:v>
      </x:c>
      <x:c r="L168" s="8" t="str"/>
      <x:c r="M168" s="11" t="str">
        <x:v>Existing recommendation UI or migration message</x:v>
      </x:c>
      <x:c r="N168" s="11" t="n">
        <x:v>90</x:v>
      </x:c>
      <x:c r="O168" s="11" t="str">
        <x:v>2026-07-29.1</x:v>
      </x:c>
      <x:c r="P168" s="11" t="str">
        <x:v>source_verified</x:v>
      </x:c>
      <x:c r="Q168" s="11" t="str"/>
      <x:c r="R168" s="11" t="str"/>
    </x:row>
    <x:row r="169" ht="48" customHeight="1">
      <x:c r="A169" s="8" t="str">
        <x:v>ui.category.posture</x:v>
      </x:c>
      <x:c r="B169" s="8" t="str">
        <x:v>ui.category.posture</x:v>
      </x:c>
      <x:c r="C169" s="8" t="n">
        <x:v>1</x:v>
      </x:c>
      <x:c r="D169" s="8" t="str">
        <x:v>ui_copy</x:v>
      </x:c>
      <x:c r="E169" s="11" t="str">
        <x:v>interface</x:v>
      </x:c>
      <x:c r="F169" s="11" t="str">
        <x:v>any</x:v>
      </x:c>
      <x:c r="G169" s="11" t="str">
        <x:v>any</x:v>
      </x:c>
      <x:c r="H169" s="11" t="str">
        <x:v>any</x:v>
      </x:c>
      <x:c r="I169" s="11" t="str">
        <x:v>feature_surface_visible</x:v>
      </x:c>
      <x:c r="J169" s="11" t="str">
        <x:v>ท่าทางที่ควรปรับ</x:v>
      </x:c>
      <x:c r="K169" s="8" t="str">
        <x:v>current_app_recommendation_copy</x:v>
      </x:c>
      <x:c r="L169" s="8" t="str"/>
      <x:c r="M169" s="11" t="str">
        <x:v>Existing recommendation UI or migration message</x:v>
      </x:c>
      <x:c r="N169" s="11" t="n">
        <x:v>90</x:v>
      </x:c>
      <x:c r="O169" s="11" t="str">
        <x:v>2026-07-29.1</x:v>
      </x:c>
      <x:c r="P169" s="11" t="str">
        <x:v>source_verified</x:v>
      </x:c>
      <x:c r="Q169" s="11" t="str"/>
      <x:c r="R169" s="11" t="str"/>
    </x:row>
    <x:row r="170" ht="48" customHeight="1">
      <x:c r="A170" s="8" t="str">
        <x:v>ui.category.risk_reduction</x:v>
      </x:c>
      <x:c r="B170" s="8" t="str">
        <x:v>ui.category.risk_reduction</x:v>
      </x:c>
      <x:c r="C170" s="8" t="n">
        <x:v>1</x:v>
      </x:c>
      <x:c r="D170" s="8" t="str">
        <x:v>ui_copy</x:v>
      </x:c>
      <x:c r="E170" s="11" t="str">
        <x:v>interface</x:v>
      </x:c>
      <x:c r="F170" s="11" t="str">
        <x:v>any</x:v>
      </x:c>
      <x:c r="G170" s="11" t="str">
        <x:v>any</x:v>
      </x:c>
      <x:c r="H170" s="11" t="str">
        <x:v>any</x:v>
      </x:c>
      <x:c r="I170" s="11" t="str">
        <x:v>feature_surface_visible</x:v>
      </x:c>
      <x:c r="J170" s="11" t="str">
        <x:v>วิธีลดความเสี่ยง</x:v>
      </x:c>
      <x:c r="K170" s="8" t="str">
        <x:v>current_app_recommendation_copy</x:v>
      </x:c>
      <x:c r="L170" s="8" t="str"/>
      <x:c r="M170" s="11" t="str">
        <x:v>Existing recommendation UI or migration message</x:v>
      </x:c>
      <x:c r="N170" s="11" t="n">
        <x:v>90</x:v>
      </x:c>
      <x:c r="O170" s="11" t="str">
        <x:v>2026-07-29.1</x:v>
      </x:c>
      <x:c r="P170" s="11" t="str">
        <x:v>source_verified</x:v>
      </x:c>
      <x:c r="Q170" s="11" t="str"/>
      <x:c r="R170" s="11" t="str"/>
    </x:row>
    <x:row r="171" ht="48" customHeight="1">
      <x:c r="A171" s="8" t="str">
        <x:v>ui.category.rest_rotation</x:v>
      </x:c>
      <x:c r="B171" s="8" t="str">
        <x:v>ui.category.rest_rotation</x:v>
      </x:c>
      <x:c r="C171" s="8" t="n">
        <x:v>1</x:v>
      </x:c>
      <x:c r="D171" s="8" t="str">
        <x:v>ui_copy</x:v>
      </x:c>
      <x:c r="E171" s="11" t="str">
        <x:v>interface</x:v>
      </x:c>
      <x:c r="F171" s="11" t="str">
        <x:v>any</x:v>
      </x:c>
      <x:c r="G171" s="11" t="str">
        <x:v>any</x:v>
      </x:c>
      <x:c r="H171" s="11" t="str">
        <x:v>any</x:v>
      </x:c>
      <x:c r="I171" s="11" t="str">
        <x:v>feature_surface_visible</x:v>
      </x:c>
      <x:c r="J171" s="11" t="str">
        <x:v>การพักหรือสลับงาน</x:v>
      </x:c>
      <x:c r="K171" s="8" t="str">
        <x:v>current_app_recommendation_copy</x:v>
      </x:c>
      <x:c r="L171" s="8" t="str"/>
      <x:c r="M171" s="11" t="str">
        <x:v>Existing recommendation UI or migration message</x:v>
      </x:c>
      <x:c r="N171" s="11" t="n">
        <x:v>90</x:v>
      </x:c>
      <x:c r="O171" s="11" t="str">
        <x:v>2026-07-29.1</x:v>
      </x:c>
      <x:c r="P171" s="11" t="str">
        <x:v>source_verified</x:v>
      </x:c>
      <x:c r="Q171" s="11" t="str"/>
      <x:c r="R171" s="11" t="str"/>
    </x:row>
    <x:row r="172" ht="48" customHeight="1">
      <x:c r="A172" s="8" t="str">
        <x:v>ui.category.workload_support</x:v>
      </x:c>
      <x:c r="B172" s="8" t="str">
        <x:v>ui.category.workload_support</x:v>
      </x:c>
      <x:c r="C172" s="8" t="n">
        <x:v>1</x:v>
      </x:c>
      <x:c r="D172" s="8" t="str">
        <x:v>ui_copy</x:v>
      </x:c>
      <x:c r="E172" s="11" t="str">
        <x:v>interface</x:v>
      </x:c>
      <x:c r="F172" s="11" t="str">
        <x:v>any</x:v>
      </x:c>
      <x:c r="G172" s="11" t="str">
        <x:v>any</x:v>
      </x:c>
      <x:c r="H172" s="11" t="str">
        <x:v>any</x:v>
      </x:c>
      <x:c r="I172" s="11" t="str">
        <x:v>feature_surface_visible</x:v>
      </x:c>
      <x:c r="J172" s="11" t="str">
        <x:v>อุปกรณ์ช่วยลดภาระงาน</x:v>
      </x:c>
      <x:c r="K172" s="8" t="str">
        <x:v>current_app_recommendation_copy</x:v>
      </x:c>
      <x:c r="L172" s="8" t="str"/>
      <x:c r="M172" s="11" t="str">
        <x:v>Existing recommendation UI or migration message</x:v>
      </x:c>
      <x:c r="N172" s="11" t="n">
        <x:v>90</x:v>
      </x:c>
      <x:c r="O172" s="11" t="str">
        <x:v>2026-07-29.1</x:v>
      </x:c>
      <x:c r="P172" s="11" t="str">
        <x:v>source_verified</x:v>
      </x:c>
      <x:c r="Q172" s="11" t="str"/>
      <x:c r="R172" s="11" t="str"/>
    </x:row>
    <x:row r="173" ht="48" customHeight="1">
      <x:c r="A173" s="8" t="str">
        <x:v>ui.recommendations.empty</x:v>
      </x:c>
      <x:c r="B173" s="8" t="str">
        <x:v>ui.recommendations.empty</x:v>
      </x:c>
      <x:c r="C173" s="8" t="n">
        <x:v>1</x:v>
      </x:c>
      <x:c r="D173" s="8" t="str">
        <x:v>ui_copy</x:v>
      </x:c>
      <x:c r="E173" s="11" t="str">
        <x:v>interface</x:v>
      </x:c>
      <x:c r="F173" s="11" t="str">
        <x:v>any</x:v>
      </x:c>
      <x:c r="G173" s="11" t="str">
        <x:v>any</x:v>
      </x:c>
      <x:c r="H173" s="11" t="str">
        <x:v>any</x:v>
      </x:c>
      <x:c r="I173" s="11" t="str">
        <x:v>feature_surface_visible</x:v>
      </x:c>
      <x:c r="J173" s="11" t="str">
        <x:v>ไม่มีคำแนะนำเพิ่มเติม</x:v>
      </x:c>
      <x:c r="K173" s="8" t="str">
        <x:v>current_app_recommendation_copy</x:v>
      </x:c>
      <x:c r="L173" s="8" t="str"/>
      <x:c r="M173" s="11" t="str">
        <x:v>Existing recommendation UI or migration message</x:v>
      </x:c>
      <x:c r="N173" s="11" t="n">
        <x:v>90</x:v>
      </x:c>
      <x:c r="O173" s="11" t="str">
        <x:v>2026-07-29.1</x:v>
      </x:c>
      <x:c r="P173" s="11" t="str">
        <x:v>source_verified</x:v>
      </x:c>
      <x:c r="Q173" s="11" t="str"/>
      <x:c r="R173" s="11" t="str"/>
    </x:row>
    <x:row r="174" ht="48" customHeight="1">
      <x:c r="A174" s="8" t="str">
        <x:v>ui.recommendations.full</x:v>
      </x:c>
      <x:c r="B174" s="8" t="str">
        <x:v>ui.recommendations.full</x:v>
      </x:c>
      <x:c r="C174" s="8" t="n">
        <x:v>1</x:v>
      </x:c>
      <x:c r="D174" s="8" t="str">
        <x:v>ui_copy</x:v>
      </x:c>
      <x:c r="E174" s="11" t="str">
        <x:v>interface</x:v>
      </x:c>
      <x:c r="F174" s="11" t="str">
        <x:v>any</x:v>
      </x:c>
      <x:c r="G174" s="11" t="str">
        <x:v>any</x:v>
      </x:c>
      <x:c r="H174" s="11" t="str">
        <x:v>any</x:v>
      </x:c>
      <x:c r="I174" s="11" t="str">
        <x:v>feature_surface_visible</x:v>
      </x:c>
      <x:c r="J174" s="11" t="str">
        <x:v>คำแนะนำฉบับเต็ม</x:v>
      </x:c>
      <x:c r="K174" s="8" t="str">
        <x:v>current_app_recommendation_copy</x:v>
      </x:c>
      <x:c r="L174" s="8" t="str"/>
      <x:c r="M174" s="11" t="str">
        <x:v>Existing recommendation UI or migration message</x:v>
      </x:c>
      <x:c r="N174" s="11" t="n">
        <x:v>90</x:v>
      </x:c>
      <x:c r="O174" s="11" t="str">
        <x:v>2026-07-29.1</x:v>
      </x:c>
      <x:c r="P174" s="11" t="str">
        <x:v>source_verified</x:v>
      </x:c>
      <x:c r="Q174" s="11" t="str"/>
      <x:c r="R174" s="11" t="str"/>
    </x:row>
    <x:row r="175" ht="48" customHeight="1">
      <x:c r="A175" s="8" t="str">
        <x:v>report.selected_recommendations</x:v>
      </x:c>
      <x:c r="B175" s="8" t="str">
        <x:v>report.selected_recommendations</x:v>
      </x:c>
      <x:c r="C175" s="8" t="n">
        <x:v>1</x:v>
      </x:c>
      <x:c r="D175" s="8" t="str">
        <x:v>ui_copy</x:v>
      </x:c>
      <x:c r="E175" s="11" t="str">
        <x:v>interface</x:v>
      </x:c>
      <x:c r="F175" s="11" t="str">
        <x:v>any</x:v>
      </x:c>
      <x:c r="G175" s="11" t="str">
        <x:v>any</x:v>
      </x:c>
      <x:c r="H175" s="11" t="str">
        <x:v>any</x:v>
      </x:c>
      <x:c r="I175" s="11" t="str">
        <x:v>feature_surface_visible</x:v>
      </x:c>
      <x:c r="J175" s="11" t="str">
        <x:v>คำแนะนำที่เลือก</x:v>
      </x:c>
      <x:c r="K175" s="8" t="str">
        <x:v>current_app_recommendation_copy</x:v>
      </x:c>
      <x:c r="L175" s="8" t="str"/>
      <x:c r="M175" s="11" t="str">
        <x:v>Existing recommendation UI or migration message</x:v>
      </x:c>
      <x:c r="N175" s="11" t="n">
        <x:v>90</x:v>
      </x:c>
      <x:c r="O175" s="11" t="str">
        <x:v>2026-07-29.1</x:v>
      </x:c>
      <x:c r="P175" s="11" t="str">
        <x:v>source_verified</x:v>
      </x:c>
      <x:c r="Q175" s="11" t="str"/>
      <x:c r="R175" s="11" t="str"/>
    </x:row>
    <x:row r="176" ht="48" customHeight="1">
      <x:c r="A176" s="8" t="str">
        <x:v>system.unmapped_saved_recommendation</x:v>
      </x:c>
      <x:c r="B176" s="8" t="str">
        <x:v>system.unmapped_saved_recommendation</x:v>
      </x:c>
      <x:c r="C176" s="8" t="n">
        <x:v>1</x:v>
      </x:c>
      <x:c r="D176" s="8" t="str">
        <x:v>system_message</x:v>
      </x:c>
      <x:c r="E176" s="11" t="str">
        <x:v>interface</x:v>
      </x:c>
      <x:c r="F176" s="11" t="str">
        <x:v>any</x:v>
      </x:c>
      <x:c r="G176" s="11" t="str">
        <x:v>any</x:v>
      </x:c>
      <x:c r="H176" s="11" t="str">
        <x:v>any</x:v>
      </x:c>
      <x:c r="I176" s="11" t="str">
        <x:v>feature_surface_visible</x:v>
      </x:c>
      <x:c r="J176" s="11" t="str">
        <x:v>ไม่สามารถจับคู่คำแนะนำเดิมกับรายการปัจจุบันได้</x:v>
      </x:c>
      <x:c r="K176" s="8" t="str">
        <x:v>current_app_recommendation_copy</x:v>
      </x:c>
      <x:c r="L176" s="8" t="str"/>
      <x:c r="M176" s="11" t="str">
        <x:v>Existing recommendation UI or migration message</x:v>
      </x:c>
      <x:c r="N176" s="11" t="n">
        <x:v>90</x:v>
      </x:c>
      <x:c r="O176" s="11" t="str">
        <x:v>2026-07-29.1</x:v>
      </x:c>
      <x:c r="P176" s="11" t="str">
        <x:v>source_verified</x:v>
      </x:c>
      <x:c r="Q176" s="11" t="str"/>
      <x:c r="R176" s="11" t="str"/>
    </x:row>
  </x:sheetData>
  <x:pageMargins left="0.7" right="0.7" top="0.75" bottom="0.75" header="0.3" footer="0.3"/>
  <x:tableParts count="1">
    <x:tablePart xmlns:r="http://schemas.openxmlformats.org/officeDocument/2006/relationships" r:id="R221eed99b651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12" hidden="0" customWidth="1"/>
    <x:col min="4" max="4" width="12" hidden="0" customWidth="1"/>
    <x:col min="5" max="5" width="34" hidden="0" customWidth="1"/>
    <x:col min="6" max="6" width="67" hidden="0" customWidth="1"/>
    <x:col min="7" max="7" width="65" hidden="0" customWidth="1"/>
    <x:col min="8" max="8" width="58" hidden="0" customWidth="1"/>
  </x:cols>
  <x:sheetData>
    <x:row r="1" ht="34" customHeight="1">
      <x:c r="A1" s="7" t="str">
        <x:v>Source ID</x:v>
      </x:c>
      <x:c r="B1" s="7" t="str">
        <x:v>Title</x:v>
      </x:c>
      <x:c r="C1" s="7" t="str">
        <x:v>Language</x:v>
      </x:c>
      <x:c r="D1" s="7" t="str">
        <x:v>Priority</x:v>
      </x:c>
      <x:c r="E1" s="7" t="str">
        <x:v>Role</x:v>
      </x:c>
      <x:c r="F1" s="7" t="str">
        <x:v>SHA-256</x:v>
      </x:c>
      <x:c r="G1" s="7" t="str">
        <x:v>Local path</x:v>
      </x:c>
      <x:c r="H1" s="7" t="str">
        <x:v>Distribution note</x:v>
      </x:c>
    </x:row>
    <x:row r="2" ht="56" customHeight="1">
      <x:c r="A2" s="8" t="str">
        <x:v>body_map_recommendations</x:v>
      </x:c>
      <x:c r="B2" s="11" t="str">
        <x:v>ชุดคำแนะนำตามความเสี่ยง Body map</x:v>
      </x:c>
      <x:c r="C2" s="11" t="str">
        <x:v>th</x:v>
      </x:c>
      <x:c r="D2" s="11" t="n">
        <x:v>1</x:v>
      </x:c>
      <x:c r="E2" s="11" t="str">
        <x:v>primary_recommendation_copy</x:v>
      </x:c>
      <x:c r="F2" s="11" t="str">
        <x:v>fee5c283139b78f605edf18a40fd1d5b4a48893f8e0aa9b3a037630944cb4d2c</x:v>
      </x:c>
      <x:c r="G2" s="11" t="str">
        <x:v>/Users/kpc/Documents/TestSookta/Calibtation/ชุดคำแนะนำตามความเสี่ยง Body map.pdf</x:v>
      </x:c>
      <x:c r="H2" s="11" t="str">
        <x:v>Employer-provided reference. Record provenance only; do not redistribute the source document.</x:v>
      </x:c>
    </x:row>
    <x:row r="3" ht="56" customHeight="1">
      <x:c r="A3" s="8" t="str">
        <x:v>app_recommendations_v3</x:v>
      </x:c>
      <x:c r="B3" s="11" t="str">
        <x:v>คำแนะนำแต่ละระดับความเสี่ยงใน app Ref. ISO11228, REBA V3</x:v>
      </x:c>
      <x:c r="C3" s="11" t="str">
        <x:v>th</x:v>
      </x:c>
      <x:c r="D3" s="11" t="n">
        <x:v>2</x:v>
      </x:c>
      <x:c r="E3" s="11" t="str">
        <x:v>activity_specific_recommendation_copy</x:v>
      </x:c>
      <x:c r="F3" s="11" t="str">
        <x:v>ec80da8a80a4c9fee6255b2787ae86c79fdddef69b53574eab07bb43fcab87b5</x:v>
      </x:c>
      <x:c r="G3" s="11" t="str">
        <x:v>/Users/kpc/Documents/Doc/fortrain/คำแนะนำแต่ละดับความเสี่ยงใน app Ref. ISO11228, REBA V3.pdf</x:v>
      </x:c>
      <x:c r="H3" s="11" t="str">
        <x:v>Employer-provided project reference. Record traceable excerpts only; do not redistribute the source document.</x:v>
      </x:c>
    </x:row>
    <x:row r="4" ht="56" customHeight="1">
      <x:c r="A4" s="8" t="str">
        <x:v>ilo_ergonomic_checkpoints_agriculture</x:v>
      </x:c>
      <x:c r="B4" s="11" t="str">
        <x:v>Ergonomic checkpoints in agriculture</x:v>
      </x:c>
      <x:c r="C4" s="11" t="str">
        <x:v>en</x:v>
      </x:c>
      <x:c r="D4" s="11" t="n">
        <x:v>3</x:v>
      </x:c>
      <x:c r="E4" s="11" t="str">
        <x:v>supporting_ergonomic_evidence</x:v>
      </x:c>
      <x:c r="F4" s="11" t="str">
        <x:v>3ca8a3c621ad6efb58e818de8c5d64ec257bb13c74f191e96c5f60d4d47acf8e</x:v>
      </x:c>
      <x:c r="G4" s="11" t="str">
        <x:v>/Users/kpc/Documents/Doc/fortrain/wcms_168042.pdf</x:v>
      </x:c>
      <x:c r="H4" s="11" t="str">
        <x:v>ILO publication supplied as a project reference. Cite checkpoint/page; do not bundle the PDF in the application.</x:v>
      </x:c>
    </x:row>
    <x:row r="5" ht="56" customHeight="1">
      <x:c r="A5" s="8" t="str">
        <x:v>reba_employee_assessment_worksheet</x:v>
      </x:c>
      <x:c r="B5" s="11" t="str">
        <x:v>REBA Employee Assessment Worksheet</x:v>
      </x:c>
      <x:c r="C5" s="11" t="str">
        <x:v>en</x:v>
      </x:c>
      <x:c r="D5" s="11" t="n">
        <x:v>4</x:v>
      </x:c>
      <x:c r="E5" s="11" t="str">
        <x:v>risk_level_provenance_only</x:v>
      </x:c>
      <x:c r="F5" s="11" t="str">
        <x:v>b23cf52703aacf6cd348f81044f91672cc7bf50f5273be82243d4a11a95155e8</x:v>
      </x:c>
      <x:c r="G5" s="11" t="str">
        <x:v>/Users/kpc/Documents/Doc/REBA.pdf</x:v>
      </x:c>
      <x:c r="H5" s="11" t="str">
        <x:v>Employer-provided assessment worksheet. Use for provenance; it is not a source for newly authored advice.</x:v>
      </x:c>
    </x:row>
    <x:row r="6" ht="56" customHeight="1">
      <x:c r="A6" s="8" t="str">
        <x:v>iso11228_pirawan_project_workbook</x:v>
      </x:c>
      <x:c r="B6" s="11" t="str">
        <x:v>ISO11228 Pirawan project workbook</x:v>
      </x:c>
      <x:c r="C6" s="11" t="str">
        <x:v>th</x:v>
      </x:c>
      <x:c r="D6" s="11" t="n">
        <x:v>5</x:v>
      </x:c>
      <x:c r="E6" s="11" t="str">
        <x:v>project_case_and_scoring_context</x:v>
      </x:c>
      <x:c r="F6" s="11" t="str">
        <x:v>980930d38680ffe215dda38cabe5985fe205b63ade112db63cd9a0a844b16342</x:v>
      </x:c>
      <x:c r="G6" s="11" t="str">
        <x:v>/Users/kpc/Documents/Doc/ISO11228 Pirawan.xlsx</x:v>
      </x:c>
      <x:c r="H6" s="11" t="str">
        <x:v>Employer-provided project workbook. Treat its A-F rubric as project-specific context, not as a verbatim normative ISO formula.</x:v>
      </x:c>
    </x:row>
    <x:row r="7" ht="56" customHeight="1">
      <x:c r="A7" s="8" t="str">
        <x:v>current_app_recommendation_copy</x:v>
      </x:c>
      <x:c r="B7" s="11" t="str">
        <x:v>Current Sookta recommendation localization table</x:v>
      </x:c>
      <x:c r="C7" s="11" t="str">
        <x:v>th,en</x:v>
      </x:c>
      <x:c r="D7" s="11" t="n">
        <x:v>90</x:v>
      </x:c>
      <x:c r="E7" s="11" t="str">
        <x:v>legacy_copy_and_ui_migration_audit</x:v>
      </x:c>
      <x:c r="F7" s="11" t="str">
        <x:v>a112ff7a1fec833cf9312a91db263bb13d7c5989ebfa1fb13deac8d908952bfe</x:v>
      </x:c>
      <x:c r="G7" s="11" t="str">
        <x:v>lib/core/localization/sookta_strings.dart</x:v>
      </x:c>
      <x:c r="H7" s="11" t="str">
        <x:v>Internal project source snapshot. Use only for legacy alias comparison and non-advisory UI copy; external recommendation documents remain authoritative.</x:v>
      </x:c>
    </x:row>
  </x:sheetData>
  <x:pageMargins left="0.7" right="0.7" top="0.75" bottom="0.75" header="0.3" footer="0.3"/>
  <x:tableParts count="1">
    <x:tablePart xmlns:r="http://schemas.openxmlformats.org/officeDocument/2006/relationships" r:id="R8caeedd1fb99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1" hidden="0" customWidth="1"/>
    <x:col min="4" max="4" width="38" hidden="0" customWidth="1"/>
    <x:col min="5" max="5" width="38" hidden="0" customWidth="1"/>
    <x:col min="6" max="6" width="64" hidden="0" customWidth="1"/>
    <x:col min="7" max="7" width="54" hidden="0" customWidth="1"/>
    <x:col min="8" max="8" width="18" hidden="0" customWidth="1"/>
    <x:col min="9" max="9" width="24" hidden="0" customWidth="1"/>
  </x:cols>
  <x:sheetData>
    <x:row r="1" ht="34" customHeight="1">
      <x:c r="A1" s="7" t="str">
        <x:v>recommendation_id</x:v>
      </x:c>
      <x:c r="B1" s="7" t="str">
        <x:v>selection_key</x:v>
      </x:c>
      <x:c r="C1" s="7" t="str">
        <x:v>issue_type</x:v>
      </x:c>
      <x:c r="D1" s="7" t="str">
        <x:v>source_a</x:v>
      </x:c>
      <x:c r="E1" s="7" t="str">
        <x:v>source_b</x:v>
      </x:c>
      <x:c r="F1" s="7" t="str">
        <x:v>conflicting_value</x:v>
      </x:c>
      <x:c r="G1" s="7" t="str">
        <x:v>proposed_action</x:v>
      </x:c>
      <x:c r="H1" s="7" t="str">
        <x:v>approval_status</x:v>
      </x:c>
      <x:c r="I1" s="7" t="str">
        <x:v>blank_metadata_fields</x:v>
      </x:c>
    </x:row>
    <x:row r="2" ht="72" customHeight="1">
      <x:c r="A2" s="8" t="str">
        <x:v>act_ref_weight_high.01</x:v>
      </x:c>
      <x:c r="B2" s="8" t="str">
        <x:v>act_ref_weight_high</x:v>
      </x:c>
      <x:c r="C2" s="11" t="str">
        <x:v>overlapping_weight_limits</x:v>
      </x:c>
      <x:c r="D2" s="11" t="str">
        <x:v>body_map_recommendations:p8</x:v>
      </x:c>
      <x:c r="E2" s="11" t="str">
        <x:v>app_recommendations_v3:p1-3</x:v>
      </x:c>
      <x:c r="F2" s="11" t="str">
        <x:v>Body Map กำหนดน้ำหนักตามลักษณะงาน เช่น 10/20/25 กก. แต่เอกสาร V3 กำหนดต่างกันตามอายุและเพศ</x:v>
      </x:c>
      <x:c r="G2" s="11" t="str">
        <x:v>คงคำแนะนำแยกตามบริบท และเมื่อมีหลายเกณฑ์ให้แสดงค่าที่เข้มงวดกว่าซึ่งตรงกับบริบทของผู้ใช้</x:v>
      </x:c>
      <x:c r="H2" s="11" t="str">
        <x:v>approved</x:v>
      </x:c>
      <x:c r="I2" s="11" t="n">
        <x:f>IF(LEN(TRIM(C2))=0,1,0)+IF(LEN(TRIM(D2))=0,1,0)+IF(LEN(TRIM(E2))=0,1,0)+IF(LEN(TRIM(F2))=0,1,0)+IF(LEN(TRIM(G2))=0,1,0)</x:f>
        <x:v>0</x:v>
      </x:c>
    </x:row>
    <x:row r="3" ht="72" customHeight="1">
      <x:c r="A3" s="8" t="str">
        <x:v>act_avoid_bend.01</x:v>
      </x:c>
      <x:c r="B3" s="8" t="str">
        <x:v>act_avoid_bend</x:v>
      </x:c>
      <x:c r="C3" s="11" t="str">
        <x:v>unsupported_legacy_clause</x:v>
      </x:c>
      <x:c r="D3" s="11" t="str">
        <x:v>current_app_recommendation_copy</x:v>
      </x:c>
      <x:c r="E3" s="11" t="str">
        <x:v>body_map_recommendations:p2-3</x:v>
      </x:c>
      <x:c r="F3" s="11" t="str">
        <x:v>ข้อความเดิมกล่าวถึงเข็มขัดพยุงหลัง แต่เอกสารหลักแนะนำให้ยกระดับงานและใช้อุปกรณ์ช่วยทำงานใกล้พื้น</x:v>
      </x:c>
      <x:c r="G3" s="11" t="str">
        <x:v>ใช้ข้อความจาก Body Map และตัดข้อความเรื่องเข็มขัดพยุงหลังออก</x:v>
      </x:c>
      <x:c r="H3" s="11" t="str">
        <x:v>approved</x:v>
      </x:c>
      <x:c r="I3" s="11" t="n">
        <x:f>IF(LEN(TRIM(C3))=0,1,0)+IF(LEN(TRIM(D3))=0,1,0)+IF(LEN(TRIM(E3))=0,1,0)+IF(LEN(TRIM(F3))=0,1,0)+IF(LEN(TRIM(G3))=0,1,0)</x:f>
        <x:v>0</x:v>
      </x:c>
    </x:row>
    <x:row r="4" ht="72" customHeight="1">
      <x:c r="A4" s="8" t="str">
        <x:v>act_harvest_empty_often.01</x:v>
      </x:c>
      <x:c r="B4" s="8" t="str">
        <x:v>act_harvest_empty_often</x:v>
      </x:c>
      <x:c r="C4" s="11" t="str">
        <x:v>indirect_source_mapping</x:v>
      </x:c>
      <x:c r="D4" s="11" t="str">
        <x:v>current_app_recommendation_copy</x:v>
      </x:c>
      <x:c r="E4" s="11" t="str">
        <x:v>app_recommendations_v3:p2</x:v>
      </x:c>
      <x:c r="F4" s="11" t="str">
        <x:v>ข้อความเดิมให้เทตะกร้าบ่อยขึ้น แต่เอกสาร V3 ระบุโดยตรงให้ปรับตะกร้าให้สูงขึ้น</x:v>
      </x:c>
      <x:c r="G4" s="11" t="str">
        <x:v>ใช้ข้อความตาม V3 ว่าให้ยกหรือปรับความสูงของตะกร้า</x:v>
      </x:c>
      <x:c r="H4" s="11" t="str">
        <x:v>approved</x:v>
      </x:c>
      <x:c r="I4" s="11" t="n">
        <x:f>IF(LEN(TRIM(C4))=0,1,0)+IF(LEN(TRIM(D4))=0,1,0)+IF(LEN(TRIM(E4))=0,1,0)+IF(LEN(TRIM(F4))=0,1,0)+IF(LEN(TRIM(G4))=0,1,0)</x:f>
        <x:v>0</x:v>
      </x:c>
    </x:row>
    <x:row r="5" ht="72" customHeight="1">
      <x:c r="A5" s="8" t="str">
        <x:v>act_ref_weight_low.01</x:v>
      </x:c>
      <x:c r="B5" s="8" t="str">
        <x:v>act_ref_weight_low</x:v>
      </x:c>
      <x:c r="C5" s="11" t="str">
        <x:v>project_specific_standard_adaptation</x:v>
      </x:c>
      <x:c r="D5" s="11" t="str">
        <x:v>app_recommendations_v3:p1</x:v>
      </x:c>
      <x:c r="E5" s="11" t="str">
        <x:v>reba_employee_assessment_worksheet:p1</x:v>
      </x:c>
      <x:c r="F5" s="11" t="str">
        <x:v>เกณฑ์อายุ/เพศ A-F และสัดส่วนการลดน้ำหนักเป็นการปรับใช้ในโครงการ ไม่ใช่สูตรที่ระบุใน REBA worksheet ที่ได้รับ</x:v>
      </x:c>
      <x:c r="G5" s="11" t="str">
        <x:v>ระบุว่าเป็นแนวทางเฉพาะโครงการจากผู้ว่าจ้าง ไม่เรียกว่าเป็นสูตรมาตรฐาน ISO โดยตรง</x:v>
      </x:c>
      <x:c r="H5" s="11" t="str">
        <x:v>approved</x:v>
      </x:c>
      <x:c r="I5" s="11" t="n">
        <x:f>IF(LEN(TRIM(C5))=0,1,0)+IF(LEN(TRIM(D5))=0,1,0)+IF(LEN(TRIM(E5))=0,1,0)+IF(LEN(TRIM(F5))=0,1,0)+IF(LEN(TRIM(G5))=0,1,0)</x:f>
        <x:v>0</x:v>
      </x:c>
    </x:row>
  </x:sheetData>
  <x:conditionalFormatting sqref="H2:H5">
    <x:cfRule type="containsText" dxfId="4" priority="1" operator="containsText" text="pending"/>
    <x:cfRule type="containsText" dxfId="5" priority="2" operator="containsText" text="approved"/>
  </x:conditionalFormatting>
  <x:conditionalFormatting sqref="C2:G5">
    <x:cfRule type="containsBlanks" dxfId="6" priority="3"/>
  </x:conditionalFormatting>
  <x:conditionalFormatting sqref="I2:I5">
    <x:cfRule type="cellIs" dxfId="7" priority="4" operator="greaterThan">
      <x:formula>0</x:formula>
    </x:cfRule>
  </x:conditionalFormatting>
  <x:dataValidations count="1">
    <x:dataValidation type="list" sqref="H2:H5">
      <x:formula1>"pending,needs_revision,rejected,approved"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200c134c547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4" customHeight="1">
      <x:c r="A1" s="7" t="str">
        <x:v>recommendation_id</x:v>
      </x:c>
      <x:c r="B1" s="7" t="str">
        <x:v>english_contains_thai</x:v>
      </x:c>
      <x:c r="C1" s="7" t="str">
        <x:v>invalid_translation_style</x:v>
      </x:c>
      <x:c r="D1" s="7" t="str">
        <x:v>invalid_approved_at</x:v>
      </x:c>
      <x:c r="E1" s="7" t="str">
        <x:v>invalid_translation_version</x:v>
      </x:c>
    </x:row>
    <x:row r="2" ht="24" customHeight="1">
      <x:c r="A2" s="8" t="str">
        <x:v>act_adj_eye_level.01</x:v>
      </x:c>
      <x:c r="B2" s="8" t="n">
        <x:f>IFERROR(IF(REGEXTEST('Translation Review'!E2,"[ก-๙]"),1,0),1)</x:f>
        <x:v>0</x:v>
      </x:c>
      <x:c r="C2" s="8" t="n">
        <x:f>IF(OR('Translation Review'!F2="direct",'Translation Review'!F2="plain_english"),0,1)</x:f>
        <x:v>0</x:v>
      </x:c>
      <x:c r="D2" s="8" t="n">
        <x:f>IFERROR(IF(AND(OR(LEN('Translation Review'!P2)=21,LEN('Translation Review'!P2)=26),MID('Translation Review'!P2,6,1)="-",MID('Translation Review'!P2,9,1)="-",MID('Translation Review'!P2,12,1)="T",MID('Translation Review'!P2,15,1)=":",MID('Translation Review'!P2,18,1)=":",VALUE(MID('Translation Review'!P2,7,2))&gt;=1,VALUE(MID('Translation Review'!P2,7,2))&lt;=12,VALUE(MID('Translation Review'!P2,10,2))&gt;=1,VALUE(MID('Translation Review'!P2,10,2))&lt;=CHOOSE(VALUE(MID('Translation Review'!P2,7,2)),31,IF(AND(MOD(VALUE(MID('Translation Review'!P2,2,4)),4)=0,OR(MOD(VALUE(MID('Translation Review'!P2,2,4)),100)&lt;&gt;0,MOD(VALUE(MID('Translation Review'!P2,2,4)),400)=0)),29,28),31,30,31,30,31,31,30,31,30,31),VALUE(MID('Translation Review'!P2,13,2))&gt;=0,VALUE(MID('Translation Review'!P2,13,2))&lt;=23,VALUE(MID('Translation Review'!P2,16,2))&gt;=0,VALUE(MID('Translation Review'!P2,16,2))&lt;=59,VALUE(MID('Translation Review'!P2,19,2))&gt;=0,VALUE(MID('Translation Review'!P2,19,2))&lt;=59,OR(AND(LEN('Translation Review'!P2)=21,RIGHT('Translation Review'!P2,1)="Z"),AND(LEN('Translation Review'!P2)=26,OR(MID('Translation Review'!P2,21,1)="+",MID('Translation Review'!P2,21,1)="-"),MID('Translation Review'!P2,24,1)=":",VALUE(MID('Translation Review'!P2,22,2))&gt;=0,VALUE(MID('Translation Review'!P2,22,2))&lt;=23,VALUE(MID('Translation Review'!P2,25,2))&gt;=0,VALUE(MID('Translation Review'!P2,25,2))&lt;=59))),0,1),1)</x:f>
        <x:v>0</x:v>
      </x:c>
      <x:c r="E2" s="8" t="n">
        <x:f>IF(AND(ISNUMBER('Translation Review'!Q2),'Translation Review'!Q2&gt;0,'Translation Review'!Q2=INT('Translation Review'!Q2)),0,1)</x:f>
        <x:v>0</x:v>
      </x:c>
    </x:row>
    <x:row r="3" ht="24" customHeight="1">
      <x:c r="A3" s="8" t="str">
        <x:v>act_adj_eye_level.02</x:v>
      </x:c>
      <x:c r="B3" s="8" t="n">
        <x:f>IFERROR(IF(REGEXTEST('Translation Review'!E3,"[ก-๙]"),1,0),1)</x:f>
        <x:v>0</x:v>
      </x:c>
      <x:c r="C3" s="8" t="n">
        <x:f>IF(OR('Translation Review'!F3="direct",'Translation Review'!F3="plain_english"),0,1)</x:f>
        <x:v>0</x:v>
      </x:c>
      <x:c r="D3" s="8" t="n">
        <x:f>IFERROR(IF(AND(OR(LEN('Translation Review'!P3)=21,LEN('Translation Review'!P3)=26),MID('Translation Review'!P3,6,1)="-",MID('Translation Review'!P3,9,1)="-",MID('Translation Review'!P3,12,1)="T",MID('Translation Review'!P3,15,1)=":",MID('Translation Review'!P3,18,1)=":",VALUE(MID('Translation Review'!P3,7,2))&gt;=1,VALUE(MID('Translation Review'!P3,7,2))&lt;=12,VALUE(MID('Translation Review'!P3,10,2))&gt;=1,VALUE(MID('Translation Review'!P3,10,2))&lt;=CHOOSE(VALUE(MID('Translation Review'!P3,7,2)),31,IF(AND(MOD(VALUE(MID('Translation Review'!P3,2,4)),4)=0,OR(MOD(VALUE(MID('Translation Review'!P3,2,4)),100)&lt;&gt;0,MOD(VALUE(MID('Translation Review'!P3,2,4)),400)=0)),29,28),31,30,31,30,31,31,30,31,30,31),VALUE(MID('Translation Review'!P3,13,2))&gt;=0,VALUE(MID('Translation Review'!P3,13,2))&lt;=23,VALUE(MID('Translation Review'!P3,16,2))&gt;=0,VALUE(MID('Translation Review'!P3,16,2))&lt;=59,VALUE(MID('Translation Review'!P3,19,2))&gt;=0,VALUE(MID('Translation Review'!P3,19,2))&lt;=59,OR(AND(LEN('Translation Review'!P3)=21,RIGHT('Translation Review'!P3,1)="Z"),AND(LEN('Translation Review'!P3)=26,OR(MID('Translation Review'!P3,21,1)="+",MID('Translation Review'!P3,21,1)="-"),MID('Translation Review'!P3,24,1)=":",VALUE(MID('Translation Review'!P3,22,2))&gt;=0,VALUE(MID('Translation Review'!P3,22,2))&lt;=23,VALUE(MID('Translation Review'!P3,25,2))&gt;=0,VALUE(MID('Translation Review'!P3,25,2))&lt;=59))),0,1),1)</x:f>
        <x:v>0</x:v>
      </x:c>
      <x:c r="E3" s="8" t="n">
        <x:f>IF(AND(ISNUMBER('Translation Review'!Q3),'Translation Review'!Q3&gt;0,'Translation Review'!Q3=INT('Translation Review'!Q3)),0,1)</x:f>
        <x:v>0</x:v>
      </x:c>
    </x:row>
    <x:row r="4" ht="24" customHeight="1">
      <x:c r="A4" s="8" t="str">
        <x:v>act_adj_wrist.01</x:v>
      </x:c>
      <x:c r="B4" s="8" t="n">
        <x:f>IFERROR(IF(REGEXTEST('Translation Review'!E4,"[ก-๙]"),1,0),1)</x:f>
        <x:v>0</x:v>
      </x:c>
      <x:c r="C4" s="8" t="n">
        <x:f>IF(OR('Translation Review'!F4="direct",'Translation Review'!F4="plain_english"),0,1)</x:f>
        <x:v>0</x:v>
      </x:c>
      <x:c r="D4" s="8" t="n">
        <x:f>IFERROR(IF(AND(OR(LEN('Translation Review'!P4)=21,LEN('Translation Review'!P4)=26),MID('Translation Review'!P4,6,1)="-",MID('Translation Review'!P4,9,1)="-",MID('Translation Review'!P4,12,1)="T",MID('Translation Review'!P4,15,1)=":",MID('Translation Review'!P4,18,1)=":",VALUE(MID('Translation Review'!P4,7,2))&gt;=1,VALUE(MID('Translation Review'!P4,7,2))&lt;=12,VALUE(MID('Translation Review'!P4,10,2))&gt;=1,VALUE(MID('Translation Review'!P4,10,2))&lt;=CHOOSE(VALUE(MID('Translation Review'!P4,7,2)),31,IF(AND(MOD(VALUE(MID('Translation Review'!P4,2,4)),4)=0,OR(MOD(VALUE(MID('Translation Review'!P4,2,4)),100)&lt;&gt;0,MOD(VALUE(MID('Translation Review'!P4,2,4)),400)=0)),29,28),31,30,31,30,31,31,30,31,30,31),VALUE(MID('Translation Review'!P4,13,2))&gt;=0,VALUE(MID('Translation Review'!P4,13,2))&lt;=23,VALUE(MID('Translation Review'!P4,16,2))&gt;=0,VALUE(MID('Translation Review'!P4,16,2))&lt;=59,VALUE(MID('Translation Review'!P4,19,2))&gt;=0,VALUE(MID('Translation Review'!P4,19,2))&lt;=59,OR(AND(LEN('Translation Review'!P4)=21,RIGHT('Translation Review'!P4,1)="Z"),AND(LEN('Translation Review'!P4)=26,OR(MID('Translation Review'!P4,21,1)="+",MID('Translation Review'!P4,21,1)="-"),MID('Translation Review'!P4,24,1)=":",VALUE(MID('Translation Review'!P4,22,2))&gt;=0,VALUE(MID('Translation Review'!P4,22,2))&lt;=23,VALUE(MID('Translation Review'!P4,25,2))&gt;=0,VALUE(MID('Translation Review'!P4,25,2))&lt;=59))),0,1),1)</x:f>
        <x:v>0</x:v>
      </x:c>
      <x:c r="E4" s="8" t="n">
        <x:f>IF(AND(ISNUMBER('Translation Review'!Q4),'Translation Review'!Q4&gt;0,'Translation Review'!Q4=INT('Translation Review'!Q4)),0,1)</x:f>
        <x:v>0</x:v>
      </x:c>
    </x:row>
    <x:row r="5" ht="24" customHeight="1">
      <x:c r="A5" s="8" t="str">
        <x:v>act_avoid_bend.01</x:v>
      </x:c>
      <x:c r="B5" s="8" t="n">
        <x:f>IFERROR(IF(REGEXTEST('Translation Review'!E5,"[ก-๙]"),1,0),1)</x:f>
        <x:v>0</x:v>
      </x:c>
      <x:c r="C5" s="8" t="n">
        <x:f>IF(OR('Translation Review'!F5="direct",'Translation Review'!F5="plain_english"),0,1)</x:f>
        <x:v>0</x:v>
      </x:c>
      <x:c r="D5" s="8" t="n">
        <x:f>IFERROR(IF(AND(OR(LEN('Translation Review'!P5)=21,LEN('Translation Review'!P5)=26),MID('Translation Review'!P5,6,1)="-",MID('Translation Review'!P5,9,1)="-",MID('Translation Review'!P5,12,1)="T",MID('Translation Review'!P5,15,1)=":",MID('Translation Review'!P5,18,1)=":",VALUE(MID('Translation Review'!P5,7,2))&gt;=1,VALUE(MID('Translation Review'!P5,7,2))&lt;=12,VALUE(MID('Translation Review'!P5,10,2))&gt;=1,VALUE(MID('Translation Review'!P5,10,2))&lt;=CHOOSE(VALUE(MID('Translation Review'!P5,7,2)),31,IF(AND(MOD(VALUE(MID('Translation Review'!P5,2,4)),4)=0,OR(MOD(VALUE(MID('Translation Review'!P5,2,4)),100)&lt;&gt;0,MOD(VALUE(MID('Translation Review'!P5,2,4)),400)=0)),29,28),31,30,31,30,31,31,30,31,30,31),VALUE(MID('Translation Review'!P5,13,2))&gt;=0,VALUE(MID('Translation Review'!P5,13,2))&lt;=23,VALUE(MID('Translation Review'!P5,16,2))&gt;=0,VALUE(MID('Translation Review'!P5,16,2))&lt;=59,VALUE(MID('Translation Review'!P5,19,2))&gt;=0,VALUE(MID('Translation Review'!P5,19,2))&lt;=59,OR(AND(LEN('Translation Review'!P5)=21,RIGHT('Translation Review'!P5,1)="Z"),AND(LEN('Translation Review'!P5)=26,OR(MID('Translation Review'!P5,21,1)="+",MID('Translation Review'!P5,21,1)="-"),MID('Translation Review'!P5,24,1)=":",VALUE(MID('Translation Review'!P5,22,2))&gt;=0,VALUE(MID('Translation Review'!P5,22,2))&lt;=23,VALUE(MID('Translation Review'!P5,25,2))&gt;=0,VALUE(MID('Translation Review'!P5,25,2))&lt;=59))),0,1),1)</x:f>
        <x:v>0</x:v>
      </x:c>
      <x:c r="E5" s="8" t="n">
        <x:f>IF(AND(ISNUMBER('Translation Review'!Q5),'Translation Review'!Q5&gt;0,'Translation Review'!Q5=INT('Translation Review'!Q5)),0,1)</x:f>
        <x:v>0</x:v>
      </x:c>
    </x:row>
    <x:row r="6" ht="24" customHeight="1">
      <x:c r="A6" s="8" t="str">
        <x:v>act_avoid_twist.01</x:v>
      </x:c>
      <x:c r="B6" s="8" t="n">
        <x:f>IFERROR(IF(REGEXTEST('Translation Review'!E6,"[ก-๙]"),1,0),1)</x:f>
        <x:v>0</x:v>
      </x:c>
      <x:c r="C6" s="8" t="n">
        <x:f>IF(OR('Translation Review'!F6="direct",'Translation Review'!F6="plain_english"),0,1)</x:f>
        <x:v>0</x:v>
      </x:c>
      <x:c r="D6" s="8" t="n">
        <x:f>IFERROR(IF(AND(OR(LEN('Translation Review'!P6)=21,LEN('Translation Review'!P6)=26),MID('Translation Review'!P6,6,1)="-",MID('Translation Review'!P6,9,1)="-",MID('Translation Review'!P6,12,1)="T",MID('Translation Review'!P6,15,1)=":",MID('Translation Review'!P6,18,1)=":",VALUE(MID('Translation Review'!P6,7,2))&gt;=1,VALUE(MID('Translation Review'!P6,7,2))&lt;=12,VALUE(MID('Translation Review'!P6,10,2))&gt;=1,VALUE(MID('Translation Review'!P6,10,2))&lt;=CHOOSE(VALUE(MID('Translation Review'!P6,7,2)),31,IF(AND(MOD(VALUE(MID('Translation Review'!P6,2,4)),4)=0,OR(MOD(VALUE(MID('Translation Review'!P6,2,4)),100)&lt;&gt;0,MOD(VALUE(MID('Translation Review'!P6,2,4)),400)=0)),29,28),31,30,31,30,31,31,30,31,30,31),VALUE(MID('Translation Review'!P6,13,2))&gt;=0,VALUE(MID('Translation Review'!P6,13,2))&lt;=23,VALUE(MID('Translation Review'!P6,16,2))&gt;=0,VALUE(MID('Translation Review'!P6,16,2))&lt;=59,VALUE(MID('Translation Review'!P6,19,2))&gt;=0,VALUE(MID('Translation Review'!P6,19,2))&lt;=59,OR(AND(LEN('Translation Review'!P6)=21,RIGHT('Translation Review'!P6,1)="Z"),AND(LEN('Translation Review'!P6)=26,OR(MID('Translation Review'!P6,21,1)="+",MID('Translation Review'!P6,21,1)="-"),MID('Translation Review'!P6,24,1)=":",VALUE(MID('Translation Review'!P6,22,2))&gt;=0,VALUE(MID('Translation Review'!P6,22,2))&lt;=23,VALUE(MID('Translation Review'!P6,25,2))&gt;=0,VALUE(MID('Translation Review'!P6,25,2))&lt;=59))),0,1),1)</x:f>
        <x:v>0</x:v>
      </x:c>
      <x:c r="E6" s="8" t="n">
        <x:f>IF(AND(ISNUMBER('Translation Review'!Q6),'Translation Review'!Q6&gt;0,'Translation Review'!Q6=INT('Translation Review'!Q6)),0,1)</x:f>
        <x:v>0</x:v>
      </x:c>
    </x:row>
    <x:row r="7" ht="24" customHeight="1">
      <x:c r="A7" s="8" t="str">
        <x:v>act_body_arms_high.01</x:v>
      </x:c>
      <x:c r="B7" s="8" t="n">
        <x:f>IFERROR(IF(REGEXTEST('Translation Review'!E7,"[ก-๙]"),1,0),1)</x:f>
        <x:v>0</x:v>
      </x:c>
      <x:c r="C7" s="8" t="n">
        <x:f>IF(OR('Translation Review'!F7="direct",'Translation Review'!F7="plain_english"),0,1)</x:f>
        <x:v>0</x:v>
      </x:c>
      <x:c r="D7" s="8" t="n">
        <x:f>IFERROR(IF(AND(OR(LEN('Translation Review'!P7)=21,LEN('Translation Review'!P7)=26),MID('Translation Review'!P7,6,1)="-",MID('Translation Review'!P7,9,1)="-",MID('Translation Review'!P7,12,1)="T",MID('Translation Review'!P7,15,1)=":",MID('Translation Review'!P7,18,1)=":",VALUE(MID('Translation Review'!P7,7,2))&gt;=1,VALUE(MID('Translation Review'!P7,7,2))&lt;=12,VALUE(MID('Translation Review'!P7,10,2))&gt;=1,VALUE(MID('Translation Review'!P7,10,2))&lt;=CHOOSE(VALUE(MID('Translation Review'!P7,7,2)),31,IF(AND(MOD(VALUE(MID('Translation Review'!P7,2,4)),4)=0,OR(MOD(VALUE(MID('Translation Review'!P7,2,4)),100)&lt;&gt;0,MOD(VALUE(MID('Translation Review'!P7,2,4)),400)=0)),29,28),31,30,31,30,31,31,30,31,30,31),VALUE(MID('Translation Review'!P7,13,2))&gt;=0,VALUE(MID('Translation Review'!P7,13,2))&lt;=23,VALUE(MID('Translation Review'!P7,16,2))&gt;=0,VALUE(MID('Translation Review'!P7,16,2))&lt;=59,VALUE(MID('Translation Review'!P7,19,2))&gt;=0,VALUE(MID('Translation Review'!P7,19,2))&lt;=59,OR(AND(LEN('Translation Review'!P7)=21,RIGHT('Translation Review'!P7,1)="Z"),AND(LEN('Translation Review'!P7)=26,OR(MID('Translation Review'!P7,21,1)="+",MID('Translation Review'!P7,21,1)="-"),MID('Translation Review'!P7,24,1)=":",VALUE(MID('Translation Review'!P7,22,2))&gt;=0,VALUE(MID('Translation Review'!P7,22,2))&lt;=23,VALUE(MID('Translation Review'!P7,25,2))&gt;=0,VALUE(MID('Translation Review'!P7,25,2))&lt;=59))),0,1),1)</x:f>
        <x:v>0</x:v>
      </x:c>
      <x:c r="E7" s="8" t="n">
        <x:f>IF(AND(ISNUMBER('Translation Review'!Q7),'Translation Review'!Q7&gt;0,'Translation Review'!Q7=INT('Translation Review'!Q7)),0,1)</x:f>
        <x:v>0</x:v>
      </x:c>
    </x:row>
    <x:row r="8" ht="24" customHeight="1">
      <x:c r="A8" s="8" t="str">
        <x:v>act_body_arms_high.02</x:v>
      </x:c>
      <x:c r="B8" s="8" t="n">
        <x:f>IFERROR(IF(REGEXTEST('Translation Review'!E8,"[ก-๙]"),1,0),1)</x:f>
        <x:v>0</x:v>
      </x:c>
      <x:c r="C8" s="8" t="n">
        <x:f>IF(OR('Translation Review'!F8="direct",'Translation Review'!F8="plain_english"),0,1)</x:f>
        <x:v>0</x:v>
      </x:c>
      <x:c r="D8" s="8" t="n">
        <x:f>IFERROR(IF(AND(OR(LEN('Translation Review'!P8)=21,LEN('Translation Review'!P8)=26),MID('Translation Review'!P8,6,1)="-",MID('Translation Review'!P8,9,1)="-",MID('Translation Review'!P8,12,1)="T",MID('Translation Review'!P8,15,1)=":",MID('Translation Review'!P8,18,1)=":",VALUE(MID('Translation Review'!P8,7,2))&gt;=1,VALUE(MID('Translation Review'!P8,7,2))&lt;=12,VALUE(MID('Translation Review'!P8,10,2))&gt;=1,VALUE(MID('Translation Review'!P8,10,2))&lt;=CHOOSE(VALUE(MID('Translation Review'!P8,7,2)),31,IF(AND(MOD(VALUE(MID('Translation Review'!P8,2,4)),4)=0,OR(MOD(VALUE(MID('Translation Review'!P8,2,4)),100)&lt;&gt;0,MOD(VALUE(MID('Translation Review'!P8,2,4)),400)=0)),29,28),31,30,31,30,31,31,30,31,30,31),VALUE(MID('Translation Review'!P8,13,2))&gt;=0,VALUE(MID('Translation Review'!P8,13,2))&lt;=23,VALUE(MID('Translation Review'!P8,16,2))&gt;=0,VALUE(MID('Translation Review'!P8,16,2))&lt;=59,VALUE(MID('Translation Review'!P8,19,2))&gt;=0,VALUE(MID('Translation Review'!P8,19,2))&lt;=59,OR(AND(LEN('Translation Review'!P8)=21,RIGHT('Translation Review'!P8,1)="Z"),AND(LEN('Translation Review'!P8)=26,OR(MID('Translation Review'!P8,21,1)="+",MID('Translation Review'!P8,21,1)="-"),MID('Translation Review'!P8,24,1)=":",VALUE(MID('Translation Review'!P8,22,2))&gt;=0,VALUE(MID('Translation Review'!P8,22,2))&lt;=23,VALUE(MID('Translation Review'!P8,25,2))&gt;=0,VALUE(MID('Translation Review'!P8,25,2))&lt;=59))),0,1),1)</x:f>
        <x:v>0</x:v>
      </x:c>
      <x:c r="E8" s="8" t="n">
        <x:f>IF(AND(ISNUMBER('Translation Review'!Q8),'Translation Review'!Q8&gt;0,'Translation Review'!Q8=INT('Translation Review'!Q8)),0,1)</x:f>
        <x:v>0</x:v>
      </x:c>
    </x:row>
    <x:row r="9" ht="24" customHeight="1">
      <x:c r="A9" s="8" t="str">
        <x:v>act_body_arms_high.03</x:v>
      </x:c>
      <x:c r="B9" s="8" t="n">
        <x:f>IFERROR(IF(REGEXTEST('Translation Review'!E9,"[ก-๙]"),1,0),1)</x:f>
        <x:v>0</x:v>
      </x:c>
      <x:c r="C9" s="8" t="n">
        <x:f>IF(OR('Translation Review'!F9="direct",'Translation Review'!F9="plain_english"),0,1)</x:f>
        <x:v>0</x:v>
      </x:c>
      <x:c r="D9" s="8" t="n">
        <x:f>IFERROR(IF(AND(OR(LEN('Translation Review'!P9)=21,LEN('Translation Review'!P9)=26),MID('Translation Review'!P9,6,1)="-",MID('Translation Review'!P9,9,1)="-",MID('Translation Review'!P9,12,1)="T",MID('Translation Review'!P9,15,1)=":",MID('Translation Review'!P9,18,1)=":",VALUE(MID('Translation Review'!P9,7,2))&gt;=1,VALUE(MID('Translation Review'!P9,7,2))&lt;=12,VALUE(MID('Translation Review'!P9,10,2))&gt;=1,VALUE(MID('Translation Review'!P9,10,2))&lt;=CHOOSE(VALUE(MID('Translation Review'!P9,7,2)),31,IF(AND(MOD(VALUE(MID('Translation Review'!P9,2,4)),4)=0,OR(MOD(VALUE(MID('Translation Review'!P9,2,4)),100)&lt;&gt;0,MOD(VALUE(MID('Translation Review'!P9,2,4)),400)=0)),29,28),31,30,31,30,31,31,30,31,30,31),VALUE(MID('Translation Review'!P9,13,2))&gt;=0,VALUE(MID('Translation Review'!P9,13,2))&lt;=23,VALUE(MID('Translation Review'!P9,16,2))&gt;=0,VALUE(MID('Translation Review'!P9,16,2))&lt;=59,VALUE(MID('Translation Review'!P9,19,2))&gt;=0,VALUE(MID('Translation Review'!P9,19,2))&lt;=59,OR(AND(LEN('Translation Review'!P9)=21,RIGHT('Translation Review'!P9,1)="Z"),AND(LEN('Translation Review'!P9)=26,OR(MID('Translation Review'!P9,21,1)="+",MID('Translation Review'!P9,21,1)="-"),MID('Translation Review'!P9,24,1)=":",VALUE(MID('Translation Review'!P9,22,2))&gt;=0,VALUE(MID('Translation Review'!P9,22,2))&lt;=23,VALUE(MID('Translation Review'!P9,25,2))&gt;=0,VALUE(MID('Translation Review'!P9,25,2))&lt;=59))),0,1),1)</x:f>
        <x:v>0</x:v>
      </x:c>
      <x:c r="E9" s="8" t="n">
        <x:f>IF(AND(ISNUMBER('Translation Review'!Q9),'Translation Review'!Q9&gt;0,'Translation Review'!Q9=INT('Translation Review'!Q9)),0,1)</x:f>
        <x:v>0</x:v>
      </x:c>
    </x:row>
    <x:row r="10" ht="24" customHeight="1">
      <x:c r="A10" s="8" t="str">
        <x:v>act_body_arms_medium.01</x:v>
      </x:c>
      <x:c r="B10" s="8" t="n">
        <x:f>IFERROR(IF(REGEXTEST('Translation Review'!E10,"[ก-๙]"),1,0),1)</x:f>
        <x:v>0</x:v>
      </x:c>
      <x:c r="C10" s="8" t="n">
        <x:f>IF(OR('Translation Review'!F10="direct",'Translation Review'!F10="plain_english"),0,1)</x:f>
        <x:v>0</x:v>
      </x:c>
      <x:c r="D10" s="8" t="n">
        <x:f>IFERROR(IF(AND(OR(LEN('Translation Review'!P10)=21,LEN('Translation Review'!P10)=26),MID('Translation Review'!P10,6,1)="-",MID('Translation Review'!P10,9,1)="-",MID('Translation Review'!P10,12,1)="T",MID('Translation Review'!P10,15,1)=":",MID('Translation Review'!P10,18,1)=":",VALUE(MID('Translation Review'!P10,7,2))&gt;=1,VALUE(MID('Translation Review'!P10,7,2))&lt;=12,VALUE(MID('Translation Review'!P10,10,2))&gt;=1,VALUE(MID('Translation Review'!P10,10,2))&lt;=CHOOSE(VALUE(MID('Translation Review'!P10,7,2)),31,IF(AND(MOD(VALUE(MID('Translation Review'!P10,2,4)),4)=0,OR(MOD(VALUE(MID('Translation Review'!P10,2,4)),100)&lt;&gt;0,MOD(VALUE(MID('Translation Review'!P10,2,4)),400)=0)),29,28),31,30,31,30,31,31,30,31,30,31),VALUE(MID('Translation Review'!P10,13,2))&gt;=0,VALUE(MID('Translation Review'!P10,13,2))&lt;=23,VALUE(MID('Translation Review'!P10,16,2))&gt;=0,VALUE(MID('Translation Review'!P10,16,2))&lt;=59,VALUE(MID('Translation Review'!P10,19,2))&gt;=0,VALUE(MID('Translation Review'!P10,19,2))&lt;=59,OR(AND(LEN('Translation Review'!P10)=21,RIGHT('Translation Review'!P10,1)="Z"),AND(LEN('Translation Review'!P10)=26,OR(MID('Translation Review'!P10,21,1)="+",MID('Translation Review'!P10,21,1)="-"),MID('Translation Review'!P10,24,1)=":",VALUE(MID('Translation Review'!P10,22,2))&gt;=0,VALUE(MID('Translation Review'!P10,22,2))&lt;=23,VALUE(MID('Translation Review'!P10,25,2))&gt;=0,VALUE(MID('Translation Review'!P10,25,2))&lt;=59))),0,1),1)</x:f>
        <x:v>0</x:v>
      </x:c>
      <x:c r="E10" s="8" t="n">
        <x:f>IF(AND(ISNUMBER('Translation Review'!Q10),'Translation Review'!Q10&gt;0,'Translation Review'!Q10=INT('Translation Review'!Q10)),0,1)</x:f>
        <x:v>0</x:v>
      </x:c>
    </x:row>
    <x:row r="11" ht="24" customHeight="1">
      <x:c r="A11" s="8" t="str">
        <x:v>act_body_arms_medium.02</x:v>
      </x:c>
      <x:c r="B11" s="8" t="n">
        <x:f>IFERROR(IF(REGEXTEST('Translation Review'!E11,"[ก-๙]"),1,0),1)</x:f>
        <x:v>0</x:v>
      </x:c>
      <x:c r="C11" s="8" t="n">
        <x:f>IF(OR('Translation Review'!F11="direct",'Translation Review'!F11="plain_english"),0,1)</x:f>
        <x:v>0</x:v>
      </x:c>
      <x:c r="D11" s="8" t="n">
        <x:f>IFERROR(IF(AND(OR(LEN('Translation Review'!P11)=21,LEN('Translation Review'!P11)=26),MID('Translation Review'!P11,6,1)="-",MID('Translation Review'!P11,9,1)="-",MID('Translation Review'!P11,12,1)="T",MID('Translation Review'!P11,15,1)=":",MID('Translation Review'!P11,18,1)=":",VALUE(MID('Translation Review'!P11,7,2))&gt;=1,VALUE(MID('Translation Review'!P11,7,2))&lt;=12,VALUE(MID('Translation Review'!P11,10,2))&gt;=1,VALUE(MID('Translation Review'!P11,10,2))&lt;=CHOOSE(VALUE(MID('Translation Review'!P11,7,2)),31,IF(AND(MOD(VALUE(MID('Translation Review'!P11,2,4)),4)=0,OR(MOD(VALUE(MID('Translation Review'!P11,2,4)),100)&lt;&gt;0,MOD(VALUE(MID('Translation Review'!P11,2,4)),400)=0)),29,28),31,30,31,30,31,31,30,31,30,31),VALUE(MID('Translation Review'!P11,13,2))&gt;=0,VALUE(MID('Translation Review'!P11,13,2))&lt;=23,VALUE(MID('Translation Review'!P11,16,2))&gt;=0,VALUE(MID('Translation Review'!P11,16,2))&lt;=59,VALUE(MID('Translation Review'!P11,19,2))&gt;=0,VALUE(MID('Translation Review'!P11,19,2))&lt;=59,OR(AND(LEN('Translation Review'!P11)=21,RIGHT('Translation Review'!P11,1)="Z"),AND(LEN('Translation Review'!P11)=26,OR(MID('Translation Review'!P11,21,1)="+",MID('Translation Review'!P11,21,1)="-"),MID('Translation Review'!P11,24,1)=":",VALUE(MID('Translation Review'!P11,22,2))&gt;=0,VALUE(MID('Translation Review'!P11,22,2))&lt;=23,VALUE(MID('Translation Review'!P11,25,2))&gt;=0,VALUE(MID('Translation Review'!P11,25,2))&lt;=59))),0,1),1)</x:f>
        <x:v>0</x:v>
      </x:c>
      <x:c r="E11" s="8" t="n">
        <x:f>IF(AND(ISNUMBER('Translation Review'!Q11),'Translation Review'!Q11&gt;0,'Translation Review'!Q11=INT('Translation Review'!Q11)),0,1)</x:f>
        <x:v>0</x:v>
      </x:c>
    </x:row>
    <x:row r="12" ht="24" customHeight="1">
      <x:c r="A12" s="8" t="str">
        <x:v>act_body_arms_medium.03</x:v>
      </x:c>
      <x:c r="B12" s="8" t="n">
        <x:f>IFERROR(IF(REGEXTEST('Translation Review'!E12,"[ก-๙]"),1,0),1)</x:f>
        <x:v>0</x:v>
      </x:c>
      <x:c r="C12" s="8" t="n">
        <x:f>IF(OR('Translation Review'!F12="direct",'Translation Review'!F12="plain_english"),0,1)</x:f>
        <x:v>0</x:v>
      </x:c>
      <x:c r="D12" s="8" t="n">
        <x:f>IFERROR(IF(AND(OR(LEN('Translation Review'!P12)=21,LEN('Translation Review'!P12)=26),MID('Translation Review'!P12,6,1)="-",MID('Translation Review'!P12,9,1)="-",MID('Translation Review'!P12,12,1)="T",MID('Translation Review'!P12,15,1)=":",MID('Translation Review'!P12,18,1)=":",VALUE(MID('Translation Review'!P12,7,2))&gt;=1,VALUE(MID('Translation Review'!P12,7,2))&lt;=12,VALUE(MID('Translation Review'!P12,10,2))&gt;=1,VALUE(MID('Translation Review'!P12,10,2))&lt;=CHOOSE(VALUE(MID('Translation Review'!P12,7,2)),31,IF(AND(MOD(VALUE(MID('Translation Review'!P12,2,4)),4)=0,OR(MOD(VALUE(MID('Translation Review'!P12,2,4)),100)&lt;&gt;0,MOD(VALUE(MID('Translation Review'!P12,2,4)),400)=0)),29,28),31,30,31,30,31,31,30,31,30,31),VALUE(MID('Translation Review'!P12,13,2))&gt;=0,VALUE(MID('Translation Review'!P12,13,2))&lt;=23,VALUE(MID('Translation Review'!P12,16,2))&gt;=0,VALUE(MID('Translation Review'!P12,16,2))&lt;=59,VALUE(MID('Translation Review'!P12,19,2))&gt;=0,VALUE(MID('Translation Review'!P12,19,2))&lt;=59,OR(AND(LEN('Translation Review'!P12)=21,RIGHT('Translation Review'!P12,1)="Z"),AND(LEN('Translation Review'!P12)=26,OR(MID('Translation Review'!P12,21,1)="+",MID('Translation Review'!P12,21,1)="-"),MID('Translation Review'!P12,24,1)=":",VALUE(MID('Translation Review'!P12,22,2))&gt;=0,VALUE(MID('Translation Review'!P12,22,2))&lt;=23,VALUE(MID('Translation Review'!P12,25,2))&gt;=0,VALUE(MID('Translation Review'!P12,25,2))&lt;=59))),0,1),1)</x:f>
        <x:v>0</x:v>
      </x:c>
      <x:c r="E12" s="8" t="n">
        <x:f>IF(AND(ISNUMBER('Translation Review'!Q12),'Translation Review'!Q12&gt;0,'Translation Review'!Q12=INT('Translation Review'!Q12)),0,1)</x:f>
        <x:v>0</x:v>
      </x:c>
    </x:row>
    <x:row r="13" ht="24" customHeight="1">
      <x:c r="A13" s="8" t="str">
        <x:v>act_body_arms_very_high.01</x:v>
      </x:c>
      <x:c r="B13" s="8" t="n">
        <x:f>IFERROR(IF(REGEXTEST('Translation Review'!E13,"[ก-๙]"),1,0),1)</x:f>
        <x:v>0</x:v>
      </x:c>
      <x:c r="C13" s="8" t="n">
        <x:f>IF(OR('Translation Review'!F13="direct",'Translation Review'!F13="plain_english"),0,1)</x:f>
        <x:v>0</x:v>
      </x:c>
      <x:c r="D13" s="8" t="n">
        <x:f>IFERROR(IF(AND(OR(LEN('Translation Review'!P13)=21,LEN('Translation Review'!P13)=26),MID('Translation Review'!P13,6,1)="-",MID('Translation Review'!P13,9,1)="-",MID('Translation Review'!P13,12,1)="T",MID('Translation Review'!P13,15,1)=":",MID('Translation Review'!P13,18,1)=":",VALUE(MID('Translation Review'!P13,7,2))&gt;=1,VALUE(MID('Translation Review'!P13,7,2))&lt;=12,VALUE(MID('Translation Review'!P13,10,2))&gt;=1,VALUE(MID('Translation Review'!P13,10,2))&lt;=CHOOSE(VALUE(MID('Translation Review'!P13,7,2)),31,IF(AND(MOD(VALUE(MID('Translation Review'!P13,2,4)),4)=0,OR(MOD(VALUE(MID('Translation Review'!P13,2,4)),100)&lt;&gt;0,MOD(VALUE(MID('Translation Review'!P13,2,4)),400)=0)),29,28),31,30,31,30,31,31,30,31,30,31),VALUE(MID('Translation Review'!P13,13,2))&gt;=0,VALUE(MID('Translation Review'!P13,13,2))&lt;=23,VALUE(MID('Translation Review'!P13,16,2))&gt;=0,VALUE(MID('Translation Review'!P13,16,2))&lt;=59,VALUE(MID('Translation Review'!P13,19,2))&gt;=0,VALUE(MID('Translation Review'!P13,19,2))&lt;=59,OR(AND(LEN('Translation Review'!P13)=21,RIGHT('Translation Review'!P13,1)="Z"),AND(LEN('Translation Review'!P13)=26,OR(MID('Translation Review'!P13,21,1)="+",MID('Translation Review'!P13,21,1)="-"),MID('Translation Review'!P13,24,1)=":",VALUE(MID('Translation Review'!P13,22,2))&gt;=0,VALUE(MID('Translation Review'!P13,22,2))&lt;=23,VALUE(MID('Translation Review'!P13,25,2))&gt;=0,VALUE(MID('Translation Review'!P13,25,2))&lt;=59))),0,1),1)</x:f>
        <x:v>0</x:v>
      </x:c>
      <x:c r="E13" s="8" t="n">
        <x:f>IF(AND(ISNUMBER('Translation Review'!Q13),'Translation Review'!Q13&gt;0,'Translation Review'!Q13=INT('Translation Review'!Q13)),0,1)</x:f>
        <x:v>0</x:v>
      </x:c>
    </x:row>
    <x:row r="14" ht="24" customHeight="1">
      <x:c r="A14" s="8" t="str">
        <x:v>act_body_arms_very_high.02</x:v>
      </x:c>
      <x:c r="B14" s="8" t="n">
        <x:f>IFERROR(IF(REGEXTEST('Translation Review'!E14,"[ก-๙]"),1,0),1)</x:f>
        <x:v>0</x:v>
      </x:c>
      <x:c r="C14" s="8" t="n">
        <x:f>IF(OR('Translation Review'!F14="direct",'Translation Review'!F14="plain_english"),0,1)</x:f>
        <x:v>0</x:v>
      </x:c>
      <x:c r="D14" s="8" t="n">
        <x:f>IFERROR(IF(AND(OR(LEN('Translation Review'!P14)=21,LEN('Translation Review'!P14)=26),MID('Translation Review'!P14,6,1)="-",MID('Translation Review'!P14,9,1)="-",MID('Translation Review'!P14,12,1)="T",MID('Translation Review'!P14,15,1)=":",MID('Translation Review'!P14,18,1)=":",VALUE(MID('Translation Review'!P14,7,2))&gt;=1,VALUE(MID('Translation Review'!P14,7,2))&lt;=12,VALUE(MID('Translation Review'!P14,10,2))&gt;=1,VALUE(MID('Translation Review'!P14,10,2))&lt;=CHOOSE(VALUE(MID('Translation Review'!P14,7,2)),31,IF(AND(MOD(VALUE(MID('Translation Review'!P14,2,4)),4)=0,OR(MOD(VALUE(MID('Translation Review'!P14,2,4)),100)&lt;&gt;0,MOD(VALUE(MID('Translation Review'!P14,2,4)),400)=0)),29,28),31,30,31,30,31,31,30,31,30,31),VALUE(MID('Translation Review'!P14,13,2))&gt;=0,VALUE(MID('Translation Review'!P14,13,2))&lt;=23,VALUE(MID('Translation Review'!P14,16,2))&gt;=0,VALUE(MID('Translation Review'!P14,16,2))&lt;=59,VALUE(MID('Translation Review'!P14,19,2))&gt;=0,VALUE(MID('Translation Review'!P14,19,2))&lt;=59,OR(AND(LEN('Translation Review'!P14)=21,RIGHT('Translation Review'!P14,1)="Z"),AND(LEN('Translation Review'!P14)=26,OR(MID('Translation Review'!P14,21,1)="+",MID('Translation Review'!P14,21,1)="-"),MID('Translation Review'!P14,24,1)=":",VALUE(MID('Translation Review'!P14,22,2))&gt;=0,VALUE(MID('Translation Review'!P14,22,2))&lt;=23,VALUE(MID('Translation Review'!P14,25,2))&gt;=0,VALUE(MID('Translation Review'!P14,25,2))&lt;=59))),0,1),1)</x:f>
        <x:v>0</x:v>
      </x:c>
      <x:c r="E14" s="8" t="n">
        <x:f>IF(AND(ISNUMBER('Translation Review'!Q14),'Translation Review'!Q14&gt;0,'Translation Review'!Q14=INT('Translation Review'!Q14)),0,1)</x:f>
        <x:v>0</x:v>
      </x:c>
    </x:row>
    <x:row r="15" ht="24" customHeight="1">
      <x:c r="A15" s="8" t="str">
        <x:v>act_body_arms_very_high.03</x:v>
      </x:c>
      <x:c r="B15" s="8" t="n">
        <x:f>IFERROR(IF(REGEXTEST('Translation Review'!E15,"[ก-๙]"),1,0),1)</x:f>
        <x:v>0</x:v>
      </x:c>
      <x:c r="C15" s="8" t="n">
        <x:f>IF(OR('Translation Review'!F15="direct",'Translation Review'!F15="plain_english"),0,1)</x:f>
        <x:v>0</x:v>
      </x:c>
      <x:c r="D15" s="8" t="n">
        <x:f>IFERROR(IF(AND(OR(LEN('Translation Review'!P15)=21,LEN('Translation Review'!P15)=26),MID('Translation Review'!P15,6,1)="-",MID('Translation Review'!P15,9,1)="-",MID('Translation Review'!P15,12,1)="T",MID('Translation Review'!P15,15,1)=":",MID('Translation Review'!P15,18,1)=":",VALUE(MID('Translation Review'!P15,7,2))&gt;=1,VALUE(MID('Translation Review'!P15,7,2))&lt;=12,VALUE(MID('Translation Review'!P15,10,2))&gt;=1,VALUE(MID('Translation Review'!P15,10,2))&lt;=CHOOSE(VALUE(MID('Translation Review'!P15,7,2)),31,IF(AND(MOD(VALUE(MID('Translation Review'!P15,2,4)),4)=0,OR(MOD(VALUE(MID('Translation Review'!P15,2,4)),100)&lt;&gt;0,MOD(VALUE(MID('Translation Review'!P15,2,4)),400)=0)),29,28),31,30,31,30,31,31,30,31,30,31),VALUE(MID('Translation Review'!P15,13,2))&gt;=0,VALUE(MID('Translation Review'!P15,13,2))&lt;=23,VALUE(MID('Translation Review'!P15,16,2))&gt;=0,VALUE(MID('Translation Review'!P15,16,2))&lt;=59,VALUE(MID('Translation Review'!P15,19,2))&gt;=0,VALUE(MID('Translation Review'!P15,19,2))&lt;=59,OR(AND(LEN('Translation Review'!P15)=21,RIGHT('Translation Review'!P15,1)="Z"),AND(LEN('Translation Review'!P15)=26,OR(MID('Translation Review'!P15,21,1)="+",MID('Translation Review'!P15,21,1)="-"),MID('Translation Review'!P15,24,1)=":",VALUE(MID('Translation Review'!P15,22,2))&gt;=0,VALUE(MID('Translation Review'!P15,22,2))&lt;=23,VALUE(MID('Translation Review'!P15,25,2))&gt;=0,VALUE(MID('Translation Review'!P15,25,2))&lt;=59))),0,1),1)</x:f>
        <x:v>0</x:v>
      </x:c>
      <x:c r="E15" s="8" t="n">
        <x:f>IF(AND(ISNUMBER('Translation Review'!Q15),'Translation Review'!Q15&gt;0,'Translation Review'!Q15=INT('Translation Review'!Q15)),0,1)</x:f>
        <x:v>0</x:v>
      </x:c>
    </x:row>
    <x:row r="16" ht="24" customHeight="1">
      <x:c r="A16" s="8" t="str">
        <x:v>act_body_legs_high.01</x:v>
      </x:c>
      <x:c r="B16" s="8" t="n">
        <x:f>IFERROR(IF(REGEXTEST('Translation Review'!E16,"[ก-๙]"),1,0),1)</x:f>
        <x:v>0</x:v>
      </x:c>
      <x:c r="C16" s="8" t="n">
        <x:f>IF(OR('Translation Review'!F16="direct",'Translation Review'!F16="plain_english"),0,1)</x:f>
        <x:v>0</x:v>
      </x:c>
      <x:c r="D16" s="8" t="n">
        <x:f>IFERROR(IF(AND(OR(LEN('Translation Review'!P16)=21,LEN('Translation Review'!P16)=26),MID('Translation Review'!P16,6,1)="-",MID('Translation Review'!P16,9,1)="-",MID('Translation Review'!P16,12,1)="T",MID('Translation Review'!P16,15,1)=":",MID('Translation Review'!P16,18,1)=":",VALUE(MID('Translation Review'!P16,7,2))&gt;=1,VALUE(MID('Translation Review'!P16,7,2))&lt;=12,VALUE(MID('Translation Review'!P16,10,2))&gt;=1,VALUE(MID('Translation Review'!P16,10,2))&lt;=CHOOSE(VALUE(MID('Translation Review'!P16,7,2)),31,IF(AND(MOD(VALUE(MID('Translation Review'!P16,2,4)),4)=0,OR(MOD(VALUE(MID('Translation Review'!P16,2,4)),100)&lt;&gt;0,MOD(VALUE(MID('Translation Review'!P16,2,4)),400)=0)),29,28),31,30,31,30,31,31,30,31,30,31),VALUE(MID('Translation Review'!P16,13,2))&gt;=0,VALUE(MID('Translation Review'!P16,13,2))&lt;=23,VALUE(MID('Translation Review'!P16,16,2))&gt;=0,VALUE(MID('Translation Review'!P16,16,2))&lt;=59,VALUE(MID('Translation Review'!P16,19,2))&gt;=0,VALUE(MID('Translation Review'!P16,19,2))&lt;=59,OR(AND(LEN('Translation Review'!P16)=21,RIGHT('Translation Review'!P16,1)="Z"),AND(LEN('Translation Review'!P16)=26,OR(MID('Translation Review'!P16,21,1)="+",MID('Translation Review'!P16,21,1)="-"),MID('Translation Review'!P16,24,1)=":",VALUE(MID('Translation Review'!P16,22,2))&gt;=0,VALUE(MID('Translation Review'!P16,22,2))&lt;=23,VALUE(MID('Translation Review'!P16,25,2))&gt;=0,VALUE(MID('Translation Review'!P16,25,2))&lt;=59))),0,1),1)</x:f>
        <x:v>0</x:v>
      </x:c>
      <x:c r="E16" s="8" t="n">
        <x:f>IF(AND(ISNUMBER('Translation Review'!Q16),'Translation Review'!Q16&gt;0,'Translation Review'!Q16=INT('Translation Review'!Q16)),0,1)</x:f>
        <x:v>0</x:v>
      </x:c>
    </x:row>
    <x:row r="17" ht="24" customHeight="1">
      <x:c r="A17" s="8" t="str">
        <x:v>act_body_legs_high.02</x:v>
      </x:c>
      <x:c r="B17" s="8" t="n">
        <x:f>IFERROR(IF(REGEXTEST('Translation Review'!E17,"[ก-๙]"),1,0),1)</x:f>
        <x:v>0</x:v>
      </x:c>
      <x:c r="C17" s="8" t="n">
        <x:f>IF(OR('Translation Review'!F17="direct",'Translation Review'!F17="plain_english"),0,1)</x:f>
        <x:v>0</x:v>
      </x:c>
      <x:c r="D17" s="8" t="n">
        <x:f>IFERROR(IF(AND(OR(LEN('Translation Review'!P17)=21,LEN('Translation Review'!P17)=26),MID('Translation Review'!P17,6,1)="-",MID('Translation Review'!P17,9,1)="-",MID('Translation Review'!P17,12,1)="T",MID('Translation Review'!P17,15,1)=":",MID('Translation Review'!P17,18,1)=":",VALUE(MID('Translation Review'!P17,7,2))&gt;=1,VALUE(MID('Translation Review'!P17,7,2))&lt;=12,VALUE(MID('Translation Review'!P17,10,2))&gt;=1,VALUE(MID('Translation Review'!P17,10,2))&lt;=CHOOSE(VALUE(MID('Translation Review'!P17,7,2)),31,IF(AND(MOD(VALUE(MID('Translation Review'!P17,2,4)),4)=0,OR(MOD(VALUE(MID('Translation Review'!P17,2,4)),100)&lt;&gt;0,MOD(VALUE(MID('Translation Review'!P17,2,4)),400)=0)),29,28),31,30,31,30,31,31,30,31,30,31),VALUE(MID('Translation Review'!P17,13,2))&gt;=0,VALUE(MID('Translation Review'!P17,13,2))&lt;=23,VALUE(MID('Translation Review'!P17,16,2))&gt;=0,VALUE(MID('Translation Review'!P17,16,2))&lt;=59,VALUE(MID('Translation Review'!P17,19,2))&gt;=0,VALUE(MID('Translation Review'!P17,19,2))&lt;=59,OR(AND(LEN('Translation Review'!P17)=21,RIGHT('Translation Review'!P17,1)="Z"),AND(LEN('Translation Review'!P17)=26,OR(MID('Translation Review'!P17,21,1)="+",MID('Translation Review'!P17,21,1)="-"),MID('Translation Review'!P17,24,1)=":",VALUE(MID('Translation Review'!P17,22,2))&gt;=0,VALUE(MID('Translation Review'!P17,22,2))&lt;=23,VALUE(MID('Translation Review'!P17,25,2))&gt;=0,VALUE(MID('Translation Review'!P17,25,2))&lt;=59))),0,1),1)</x:f>
        <x:v>0</x:v>
      </x:c>
      <x:c r="E17" s="8" t="n">
        <x:f>IF(AND(ISNUMBER('Translation Review'!Q17),'Translation Review'!Q17&gt;0,'Translation Review'!Q17=INT('Translation Review'!Q17)),0,1)</x:f>
        <x:v>0</x:v>
      </x:c>
    </x:row>
    <x:row r="18" ht="24" customHeight="1">
      <x:c r="A18" s="8" t="str">
        <x:v>act_body_legs_high.03</x:v>
      </x:c>
      <x:c r="B18" s="8" t="n">
        <x:f>IFERROR(IF(REGEXTEST('Translation Review'!E18,"[ก-๙]"),1,0),1)</x:f>
        <x:v>0</x:v>
      </x:c>
      <x:c r="C18" s="8" t="n">
        <x:f>IF(OR('Translation Review'!F18="direct",'Translation Review'!F18="plain_english"),0,1)</x:f>
        <x:v>0</x:v>
      </x:c>
      <x:c r="D18" s="8" t="n">
        <x:f>IFERROR(IF(AND(OR(LEN('Translation Review'!P18)=21,LEN('Translation Review'!P18)=26),MID('Translation Review'!P18,6,1)="-",MID('Translation Review'!P18,9,1)="-",MID('Translation Review'!P18,12,1)="T",MID('Translation Review'!P18,15,1)=":",MID('Translation Review'!P18,18,1)=":",VALUE(MID('Translation Review'!P18,7,2))&gt;=1,VALUE(MID('Translation Review'!P18,7,2))&lt;=12,VALUE(MID('Translation Review'!P18,10,2))&gt;=1,VALUE(MID('Translation Review'!P18,10,2))&lt;=CHOOSE(VALUE(MID('Translation Review'!P18,7,2)),31,IF(AND(MOD(VALUE(MID('Translation Review'!P18,2,4)),4)=0,OR(MOD(VALUE(MID('Translation Review'!P18,2,4)),100)&lt;&gt;0,MOD(VALUE(MID('Translation Review'!P18,2,4)),400)=0)),29,28),31,30,31,30,31,31,30,31,30,31),VALUE(MID('Translation Review'!P18,13,2))&gt;=0,VALUE(MID('Translation Review'!P18,13,2))&lt;=23,VALUE(MID('Translation Review'!P18,16,2))&gt;=0,VALUE(MID('Translation Review'!P18,16,2))&lt;=59,VALUE(MID('Translation Review'!P18,19,2))&gt;=0,VALUE(MID('Translation Review'!P18,19,2))&lt;=59,OR(AND(LEN('Translation Review'!P18)=21,RIGHT('Translation Review'!P18,1)="Z"),AND(LEN('Translation Review'!P18)=26,OR(MID('Translation Review'!P18,21,1)="+",MID('Translation Review'!P18,21,1)="-"),MID('Translation Review'!P18,24,1)=":",VALUE(MID('Translation Review'!P18,22,2))&gt;=0,VALUE(MID('Translation Review'!P18,22,2))&lt;=23,VALUE(MID('Translation Review'!P18,25,2))&gt;=0,VALUE(MID('Translation Review'!P18,25,2))&lt;=59))),0,1),1)</x:f>
        <x:v>0</x:v>
      </x:c>
      <x:c r="E18" s="8" t="n">
        <x:f>IF(AND(ISNUMBER('Translation Review'!Q18),'Translation Review'!Q18&gt;0,'Translation Review'!Q18=INT('Translation Review'!Q18)),0,1)</x:f>
        <x:v>0</x:v>
      </x:c>
    </x:row>
    <x:row r="19" ht="24" customHeight="1">
      <x:c r="A19" s="8" t="str">
        <x:v>act_body_legs_medium.01</x:v>
      </x:c>
      <x:c r="B19" s="8" t="n">
        <x:f>IFERROR(IF(REGEXTEST('Translation Review'!E19,"[ก-๙]"),1,0),1)</x:f>
        <x:v>0</x:v>
      </x:c>
      <x:c r="C19" s="8" t="n">
        <x:f>IF(OR('Translation Review'!F19="direct",'Translation Review'!F19="plain_english"),0,1)</x:f>
        <x:v>0</x:v>
      </x:c>
      <x:c r="D19" s="8" t="n">
        <x:f>IFERROR(IF(AND(OR(LEN('Translation Review'!P19)=21,LEN('Translation Review'!P19)=26),MID('Translation Review'!P19,6,1)="-",MID('Translation Review'!P19,9,1)="-",MID('Translation Review'!P19,12,1)="T",MID('Translation Review'!P19,15,1)=":",MID('Translation Review'!P19,18,1)=":",VALUE(MID('Translation Review'!P19,7,2))&gt;=1,VALUE(MID('Translation Review'!P19,7,2))&lt;=12,VALUE(MID('Translation Review'!P19,10,2))&gt;=1,VALUE(MID('Translation Review'!P19,10,2))&lt;=CHOOSE(VALUE(MID('Translation Review'!P19,7,2)),31,IF(AND(MOD(VALUE(MID('Translation Review'!P19,2,4)),4)=0,OR(MOD(VALUE(MID('Translation Review'!P19,2,4)),100)&lt;&gt;0,MOD(VALUE(MID('Translation Review'!P19,2,4)),400)=0)),29,28),31,30,31,30,31,31,30,31,30,31),VALUE(MID('Translation Review'!P19,13,2))&gt;=0,VALUE(MID('Translation Review'!P19,13,2))&lt;=23,VALUE(MID('Translation Review'!P19,16,2))&gt;=0,VALUE(MID('Translation Review'!P19,16,2))&lt;=59,VALUE(MID('Translation Review'!P19,19,2))&gt;=0,VALUE(MID('Translation Review'!P19,19,2))&lt;=59,OR(AND(LEN('Translation Review'!P19)=21,RIGHT('Translation Review'!P19,1)="Z"),AND(LEN('Translation Review'!P19)=26,OR(MID('Translation Review'!P19,21,1)="+",MID('Translation Review'!P19,21,1)="-"),MID('Translation Review'!P19,24,1)=":",VALUE(MID('Translation Review'!P19,22,2))&gt;=0,VALUE(MID('Translation Review'!P19,22,2))&lt;=23,VALUE(MID('Translation Review'!P19,25,2))&gt;=0,VALUE(MID('Translation Review'!P19,25,2))&lt;=59))),0,1),1)</x:f>
        <x:v>0</x:v>
      </x:c>
      <x:c r="E19" s="8" t="n">
        <x:f>IF(AND(ISNUMBER('Translation Review'!Q19),'Translation Review'!Q19&gt;0,'Translation Review'!Q19=INT('Translation Review'!Q19)),0,1)</x:f>
        <x:v>0</x:v>
      </x:c>
    </x:row>
    <x:row r="20" ht="24" customHeight="1">
      <x:c r="A20" s="8" t="str">
        <x:v>act_body_legs_medium.02</x:v>
      </x:c>
      <x:c r="B20" s="8" t="n">
        <x:f>IFERROR(IF(REGEXTEST('Translation Review'!E20,"[ก-๙]"),1,0),1)</x:f>
        <x:v>0</x:v>
      </x:c>
      <x:c r="C20" s="8" t="n">
        <x:f>IF(OR('Translation Review'!F20="direct",'Translation Review'!F20="plain_english"),0,1)</x:f>
        <x:v>0</x:v>
      </x:c>
      <x:c r="D20" s="8" t="n">
        <x:f>IFERROR(IF(AND(OR(LEN('Translation Review'!P20)=21,LEN('Translation Review'!P20)=26),MID('Translation Review'!P20,6,1)="-",MID('Translation Review'!P20,9,1)="-",MID('Translation Review'!P20,12,1)="T",MID('Translation Review'!P20,15,1)=":",MID('Translation Review'!P20,18,1)=":",VALUE(MID('Translation Review'!P20,7,2))&gt;=1,VALUE(MID('Translation Review'!P20,7,2))&lt;=12,VALUE(MID('Translation Review'!P20,10,2))&gt;=1,VALUE(MID('Translation Review'!P20,10,2))&lt;=CHOOSE(VALUE(MID('Translation Review'!P20,7,2)),31,IF(AND(MOD(VALUE(MID('Translation Review'!P20,2,4)),4)=0,OR(MOD(VALUE(MID('Translation Review'!P20,2,4)),100)&lt;&gt;0,MOD(VALUE(MID('Translation Review'!P20,2,4)),400)=0)),29,28),31,30,31,30,31,31,30,31,30,31),VALUE(MID('Translation Review'!P20,13,2))&gt;=0,VALUE(MID('Translation Review'!P20,13,2))&lt;=23,VALUE(MID('Translation Review'!P20,16,2))&gt;=0,VALUE(MID('Translation Review'!P20,16,2))&lt;=59,VALUE(MID('Translation Review'!P20,19,2))&gt;=0,VALUE(MID('Translation Review'!P20,19,2))&lt;=59,OR(AND(LEN('Translation Review'!P20)=21,RIGHT('Translation Review'!P20,1)="Z"),AND(LEN('Translation Review'!P20)=26,OR(MID('Translation Review'!P20,21,1)="+",MID('Translation Review'!P20,21,1)="-"),MID('Translation Review'!P20,24,1)=":",VALUE(MID('Translation Review'!P20,22,2))&gt;=0,VALUE(MID('Translation Review'!P20,22,2))&lt;=23,VALUE(MID('Translation Review'!P20,25,2))&gt;=0,VALUE(MID('Translation Review'!P20,25,2))&lt;=59))),0,1),1)</x:f>
        <x:v>0</x:v>
      </x:c>
      <x:c r="E20" s="8" t="n">
        <x:f>IF(AND(ISNUMBER('Translation Review'!Q20),'Translation Review'!Q20&gt;0,'Translation Review'!Q20=INT('Translation Review'!Q20)),0,1)</x:f>
        <x:v>0</x:v>
      </x:c>
    </x:row>
    <x:row r="21" ht="24" customHeight="1">
      <x:c r="A21" s="8" t="str">
        <x:v>act_body_legs_medium.03</x:v>
      </x:c>
      <x:c r="B21" s="8" t="n">
        <x:f>IFERROR(IF(REGEXTEST('Translation Review'!E21,"[ก-๙]"),1,0),1)</x:f>
        <x:v>0</x:v>
      </x:c>
      <x:c r="C21" s="8" t="n">
        <x:f>IF(OR('Translation Review'!F21="direct",'Translation Review'!F21="plain_english"),0,1)</x:f>
        <x:v>0</x:v>
      </x:c>
      <x:c r="D21" s="8" t="n">
        <x:f>IFERROR(IF(AND(OR(LEN('Translation Review'!P21)=21,LEN('Translation Review'!P21)=26),MID('Translation Review'!P21,6,1)="-",MID('Translation Review'!P21,9,1)="-",MID('Translation Review'!P21,12,1)="T",MID('Translation Review'!P21,15,1)=":",MID('Translation Review'!P21,18,1)=":",VALUE(MID('Translation Review'!P21,7,2))&gt;=1,VALUE(MID('Translation Review'!P21,7,2))&lt;=12,VALUE(MID('Translation Review'!P21,10,2))&gt;=1,VALUE(MID('Translation Review'!P21,10,2))&lt;=CHOOSE(VALUE(MID('Translation Review'!P21,7,2)),31,IF(AND(MOD(VALUE(MID('Translation Review'!P21,2,4)),4)=0,OR(MOD(VALUE(MID('Translation Review'!P21,2,4)),100)&lt;&gt;0,MOD(VALUE(MID('Translation Review'!P21,2,4)),400)=0)),29,28),31,30,31,30,31,31,30,31,30,31),VALUE(MID('Translation Review'!P21,13,2))&gt;=0,VALUE(MID('Translation Review'!P21,13,2))&lt;=23,VALUE(MID('Translation Review'!P21,16,2))&gt;=0,VALUE(MID('Translation Review'!P21,16,2))&lt;=59,VALUE(MID('Translation Review'!P21,19,2))&gt;=0,VALUE(MID('Translation Review'!P21,19,2))&lt;=59,OR(AND(LEN('Translation Review'!P21)=21,RIGHT('Translation Review'!P21,1)="Z"),AND(LEN('Translation Review'!P21)=26,OR(MID('Translation Review'!P21,21,1)="+",MID('Translation Review'!P21,21,1)="-"),MID('Translation Review'!P21,24,1)=":",VALUE(MID('Translation Review'!P21,22,2))&gt;=0,VALUE(MID('Translation Review'!P21,22,2))&lt;=23,VALUE(MID('Translation Review'!P21,25,2))&gt;=0,VALUE(MID('Translation Review'!P21,25,2))&lt;=59))),0,1),1)</x:f>
        <x:v>0</x:v>
      </x:c>
      <x:c r="E21" s="8" t="n">
        <x:f>IF(AND(ISNUMBER('Translation Review'!Q21),'Translation Review'!Q21&gt;0,'Translation Review'!Q21=INT('Translation Review'!Q21)),0,1)</x:f>
        <x:v>0</x:v>
      </x:c>
    </x:row>
    <x:row r="22" ht="24" customHeight="1">
      <x:c r="A22" s="8" t="str">
        <x:v>act_body_legs_very_high.01</x:v>
      </x:c>
      <x:c r="B22" s="8" t="n">
        <x:f>IFERROR(IF(REGEXTEST('Translation Review'!E22,"[ก-๙]"),1,0),1)</x:f>
        <x:v>0</x:v>
      </x:c>
      <x:c r="C22" s="8" t="n">
        <x:f>IF(OR('Translation Review'!F22="direct",'Translation Review'!F22="plain_english"),0,1)</x:f>
        <x:v>0</x:v>
      </x:c>
      <x:c r="D22" s="8" t="n">
        <x:f>IFERROR(IF(AND(OR(LEN('Translation Review'!P22)=21,LEN('Translation Review'!P22)=26),MID('Translation Review'!P22,6,1)="-",MID('Translation Review'!P22,9,1)="-",MID('Translation Review'!P22,12,1)="T",MID('Translation Review'!P22,15,1)=":",MID('Translation Review'!P22,18,1)=":",VALUE(MID('Translation Review'!P22,7,2))&gt;=1,VALUE(MID('Translation Review'!P22,7,2))&lt;=12,VALUE(MID('Translation Review'!P22,10,2))&gt;=1,VALUE(MID('Translation Review'!P22,10,2))&lt;=CHOOSE(VALUE(MID('Translation Review'!P22,7,2)),31,IF(AND(MOD(VALUE(MID('Translation Review'!P22,2,4)),4)=0,OR(MOD(VALUE(MID('Translation Review'!P22,2,4)),100)&lt;&gt;0,MOD(VALUE(MID('Translation Review'!P22,2,4)),400)=0)),29,28),31,30,31,30,31,31,30,31,30,31),VALUE(MID('Translation Review'!P22,13,2))&gt;=0,VALUE(MID('Translation Review'!P22,13,2))&lt;=23,VALUE(MID('Translation Review'!P22,16,2))&gt;=0,VALUE(MID('Translation Review'!P22,16,2))&lt;=59,VALUE(MID('Translation Review'!P22,19,2))&gt;=0,VALUE(MID('Translation Review'!P22,19,2))&lt;=59,OR(AND(LEN('Translation Review'!P22)=21,RIGHT('Translation Review'!P22,1)="Z"),AND(LEN('Translation Review'!P22)=26,OR(MID('Translation Review'!P22,21,1)="+",MID('Translation Review'!P22,21,1)="-"),MID('Translation Review'!P22,24,1)=":",VALUE(MID('Translation Review'!P22,22,2))&gt;=0,VALUE(MID('Translation Review'!P22,22,2))&lt;=23,VALUE(MID('Translation Review'!P22,25,2))&gt;=0,VALUE(MID('Translation Review'!P22,25,2))&lt;=59))),0,1),1)</x:f>
        <x:v>0</x:v>
      </x:c>
      <x:c r="E22" s="8" t="n">
        <x:f>IF(AND(ISNUMBER('Translation Review'!Q22),'Translation Review'!Q22&gt;0,'Translation Review'!Q22=INT('Translation Review'!Q22)),0,1)</x:f>
        <x:v>0</x:v>
      </x:c>
    </x:row>
    <x:row r="23" ht="24" customHeight="1">
      <x:c r="A23" s="8" t="str">
        <x:v>act_body_legs_very_high.02</x:v>
      </x:c>
      <x:c r="B23" s="8" t="n">
        <x:f>IFERROR(IF(REGEXTEST('Translation Review'!E23,"[ก-๙]"),1,0),1)</x:f>
        <x:v>0</x:v>
      </x:c>
      <x:c r="C23" s="8" t="n">
        <x:f>IF(OR('Translation Review'!F23="direct",'Translation Review'!F23="plain_english"),0,1)</x:f>
        <x:v>0</x:v>
      </x:c>
      <x:c r="D23" s="8" t="n">
        <x:f>IFERROR(IF(AND(OR(LEN('Translation Review'!P23)=21,LEN('Translation Review'!P23)=26),MID('Translation Review'!P23,6,1)="-",MID('Translation Review'!P23,9,1)="-",MID('Translation Review'!P23,12,1)="T",MID('Translation Review'!P23,15,1)=":",MID('Translation Review'!P23,18,1)=":",VALUE(MID('Translation Review'!P23,7,2))&gt;=1,VALUE(MID('Translation Review'!P23,7,2))&lt;=12,VALUE(MID('Translation Review'!P23,10,2))&gt;=1,VALUE(MID('Translation Review'!P23,10,2))&lt;=CHOOSE(VALUE(MID('Translation Review'!P23,7,2)),31,IF(AND(MOD(VALUE(MID('Translation Review'!P23,2,4)),4)=0,OR(MOD(VALUE(MID('Translation Review'!P23,2,4)),100)&lt;&gt;0,MOD(VALUE(MID('Translation Review'!P23,2,4)),400)=0)),29,28),31,30,31,30,31,31,30,31,30,31),VALUE(MID('Translation Review'!P23,13,2))&gt;=0,VALUE(MID('Translation Review'!P23,13,2))&lt;=23,VALUE(MID('Translation Review'!P23,16,2))&gt;=0,VALUE(MID('Translation Review'!P23,16,2))&lt;=59,VALUE(MID('Translation Review'!P23,19,2))&gt;=0,VALUE(MID('Translation Review'!P23,19,2))&lt;=59,OR(AND(LEN('Translation Review'!P23)=21,RIGHT('Translation Review'!P23,1)="Z"),AND(LEN('Translation Review'!P23)=26,OR(MID('Translation Review'!P23,21,1)="+",MID('Translation Review'!P23,21,1)="-"),MID('Translation Review'!P23,24,1)=":",VALUE(MID('Translation Review'!P23,22,2))&gt;=0,VALUE(MID('Translation Review'!P23,22,2))&lt;=23,VALUE(MID('Translation Review'!P23,25,2))&gt;=0,VALUE(MID('Translation Review'!P23,25,2))&lt;=59))),0,1),1)</x:f>
        <x:v>0</x:v>
      </x:c>
      <x:c r="E23" s="8" t="n">
        <x:f>IF(AND(ISNUMBER('Translation Review'!Q23),'Translation Review'!Q23&gt;0,'Translation Review'!Q23=INT('Translation Review'!Q23)),0,1)</x:f>
        <x:v>0</x:v>
      </x:c>
    </x:row>
    <x:row r="24" ht="24" customHeight="1">
      <x:c r="A24" s="8" t="str">
        <x:v>act_body_legs_very_high.03</x:v>
      </x:c>
      <x:c r="B24" s="8" t="n">
        <x:f>IFERROR(IF(REGEXTEST('Translation Review'!E24,"[ก-๙]"),1,0),1)</x:f>
        <x:v>0</x:v>
      </x:c>
      <x:c r="C24" s="8" t="n">
        <x:f>IF(OR('Translation Review'!F24="direct",'Translation Review'!F24="plain_english"),0,1)</x:f>
        <x:v>0</x:v>
      </x:c>
      <x:c r="D24" s="8" t="n">
        <x:f>IFERROR(IF(AND(OR(LEN('Translation Review'!P24)=21,LEN('Translation Review'!P24)=26),MID('Translation Review'!P24,6,1)="-",MID('Translation Review'!P24,9,1)="-",MID('Translation Review'!P24,12,1)="T",MID('Translation Review'!P24,15,1)=":",MID('Translation Review'!P24,18,1)=":",VALUE(MID('Translation Review'!P24,7,2))&gt;=1,VALUE(MID('Translation Review'!P24,7,2))&lt;=12,VALUE(MID('Translation Review'!P24,10,2))&gt;=1,VALUE(MID('Translation Review'!P24,10,2))&lt;=CHOOSE(VALUE(MID('Translation Review'!P24,7,2)),31,IF(AND(MOD(VALUE(MID('Translation Review'!P24,2,4)),4)=0,OR(MOD(VALUE(MID('Translation Review'!P24,2,4)),100)&lt;&gt;0,MOD(VALUE(MID('Translation Review'!P24,2,4)),400)=0)),29,28),31,30,31,30,31,31,30,31,30,31),VALUE(MID('Translation Review'!P24,13,2))&gt;=0,VALUE(MID('Translation Review'!P24,13,2))&lt;=23,VALUE(MID('Translation Review'!P24,16,2))&gt;=0,VALUE(MID('Translation Review'!P24,16,2))&lt;=59,VALUE(MID('Translation Review'!P24,19,2))&gt;=0,VALUE(MID('Translation Review'!P24,19,2))&lt;=59,OR(AND(LEN('Translation Review'!P24)=21,RIGHT('Translation Review'!P24,1)="Z"),AND(LEN('Translation Review'!P24)=26,OR(MID('Translation Review'!P24,21,1)="+",MID('Translation Review'!P24,21,1)="-"),MID('Translation Review'!P24,24,1)=":",VALUE(MID('Translation Review'!P24,22,2))&gt;=0,VALUE(MID('Translation Review'!P24,22,2))&lt;=23,VALUE(MID('Translation Review'!P24,25,2))&gt;=0,VALUE(MID('Translation Review'!P24,25,2))&lt;=59))),0,1),1)</x:f>
        <x:v>0</x:v>
      </x:c>
      <x:c r="E24" s="8" t="n">
        <x:f>IF(AND(ISNUMBER('Translation Review'!Q24),'Translation Review'!Q24&gt;0,'Translation Review'!Q24=INT('Translation Review'!Q24)),0,1)</x:f>
        <x:v>0</x:v>
      </x:c>
    </x:row>
    <x:row r="25" ht="24" customHeight="1">
      <x:c r="A25" s="8" t="str">
        <x:v>act_body_legs_very_high.04</x:v>
      </x:c>
      <x:c r="B25" s="8" t="n">
        <x:f>IFERROR(IF(REGEXTEST('Translation Review'!E25,"[ก-๙]"),1,0),1)</x:f>
        <x:v>0</x:v>
      </x:c>
      <x:c r="C25" s="8" t="n">
        <x:f>IF(OR('Translation Review'!F25="direct",'Translation Review'!F25="plain_english"),0,1)</x:f>
        <x:v>0</x:v>
      </x:c>
      <x:c r="D25" s="8" t="n">
        <x:f>IFERROR(IF(AND(OR(LEN('Translation Review'!P25)=21,LEN('Translation Review'!P25)=26),MID('Translation Review'!P25,6,1)="-",MID('Translation Review'!P25,9,1)="-",MID('Translation Review'!P25,12,1)="T",MID('Translation Review'!P25,15,1)=":",MID('Translation Review'!P25,18,1)=":",VALUE(MID('Translation Review'!P25,7,2))&gt;=1,VALUE(MID('Translation Review'!P25,7,2))&lt;=12,VALUE(MID('Translation Review'!P25,10,2))&gt;=1,VALUE(MID('Translation Review'!P25,10,2))&lt;=CHOOSE(VALUE(MID('Translation Review'!P25,7,2)),31,IF(AND(MOD(VALUE(MID('Translation Review'!P25,2,4)),4)=0,OR(MOD(VALUE(MID('Translation Review'!P25,2,4)),100)&lt;&gt;0,MOD(VALUE(MID('Translation Review'!P25,2,4)),400)=0)),29,28),31,30,31,30,31,31,30,31,30,31),VALUE(MID('Translation Review'!P25,13,2))&gt;=0,VALUE(MID('Translation Review'!P25,13,2))&lt;=23,VALUE(MID('Translation Review'!P25,16,2))&gt;=0,VALUE(MID('Translation Review'!P25,16,2))&lt;=59,VALUE(MID('Translation Review'!P25,19,2))&gt;=0,VALUE(MID('Translation Review'!P25,19,2))&lt;=59,OR(AND(LEN('Translation Review'!P25)=21,RIGHT('Translation Review'!P25,1)="Z"),AND(LEN('Translation Review'!P25)=26,OR(MID('Translation Review'!P25,21,1)="+",MID('Translation Review'!P25,21,1)="-"),MID('Translation Review'!P25,24,1)=":",VALUE(MID('Translation Review'!P25,22,2))&gt;=0,VALUE(MID('Translation Review'!P25,22,2))&lt;=23,VALUE(MID('Translation Review'!P25,25,2))&gt;=0,VALUE(MID('Translation Review'!P25,25,2))&lt;=59))),0,1),1)</x:f>
        <x:v>0</x:v>
      </x:c>
      <x:c r="E25" s="8" t="n">
        <x:f>IF(AND(ISNUMBER('Translation Review'!Q25),'Translation Review'!Q25&gt;0,'Translation Review'!Q25=INT('Translation Review'!Q25)),0,1)</x:f>
        <x:v>0</x:v>
      </x:c>
    </x:row>
    <x:row r="26" ht="24" customHeight="1">
      <x:c r="A26" s="8" t="str">
        <x:v>act_body_manual_high.01</x:v>
      </x:c>
      <x:c r="B26" s="8" t="n">
        <x:f>IFERROR(IF(REGEXTEST('Translation Review'!E26,"[ก-๙]"),1,0),1)</x:f>
        <x:v>0</x:v>
      </x:c>
      <x:c r="C26" s="8" t="n">
        <x:f>IF(OR('Translation Review'!F26="direct",'Translation Review'!F26="plain_english"),0,1)</x:f>
        <x:v>0</x:v>
      </x:c>
      <x:c r="D26" s="8" t="n">
        <x:f>IFERROR(IF(AND(OR(LEN('Translation Review'!P26)=21,LEN('Translation Review'!P26)=26),MID('Translation Review'!P26,6,1)="-",MID('Translation Review'!P26,9,1)="-",MID('Translation Review'!P26,12,1)="T",MID('Translation Review'!P26,15,1)=":",MID('Translation Review'!P26,18,1)=":",VALUE(MID('Translation Review'!P26,7,2))&gt;=1,VALUE(MID('Translation Review'!P26,7,2))&lt;=12,VALUE(MID('Translation Review'!P26,10,2))&gt;=1,VALUE(MID('Translation Review'!P26,10,2))&lt;=CHOOSE(VALUE(MID('Translation Review'!P26,7,2)),31,IF(AND(MOD(VALUE(MID('Translation Review'!P26,2,4)),4)=0,OR(MOD(VALUE(MID('Translation Review'!P26,2,4)),100)&lt;&gt;0,MOD(VALUE(MID('Translation Review'!P26,2,4)),400)=0)),29,28),31,30,31,30,31,31,30,31,30,31),VALUE(MID('Translation Review'!P26,13,2))&gt;=0,VALUE(MID('Translation Review'!P26,13,2))&lt;=23,VALUE(MID('Translation Review'!P26,16,2))&gt;=0,VALUE(MID('Translation Review'!P26,16,2))&lt;=59,VALUE(MID('Translation Review'!P26,19,2))&gt;=0,VALUE(MID('Translation Review'!P26,19,2))&lt;=59,OR(AND(LEN('Translation Review'!P26)=21,RIGHT('Translation Review'!P26,1)="Z"),AND(LEN('Translation Review'!P26)=26,OR(MID('Translation Review'!P26,21,1)="+",MID('Translation Review'!P26,21,1)="-"),MID('Translation Review'!P26,24,1)=":",VALUE(MID('Translation Review'!P26,22,2))&gt;=0,VALUE(MID('Translation Review'!P26,22,2))&lt;=23,VALUE(MID('Translation Review'!P26,25,2))&gt;=0,VALUE(MID('Translation Review'!P26,25,2))&lt;=59))),0,1),1)</x:f>
        <x:v>0</x:v>
      </x:c>
      <x:c r="E26" s="8" t="n">
        <x:f>IF(AND(ISNUMBER('Translation Review'!Q26),'Translation Review'!Q26&gt;0,'Translation Review'!Q26=INT('Translation Review'!Q26)),0,1)</x:f>
        <x:v>0</x:v>
      </x:c>
    </x:row>
    <x:row r="27" ht="24" customHeight="1">
      <x:c r="A27" s="8" t="str">
        <x:v>act_body_manual_high.02</x:v>
      </x:c>
      <x:c r="B27" s="8" t="n">
        <x:f>IFERROR(IF(REGEXTEST('Translation Review'!E27,"[ก-๙]"),1,0),1)</x:f>
        <x:v>0</x:v>
      </x:c>
      <x:c r="C27" s="8" t="n">
        <x:f>IF(OR('Translation Review'!F27="direct",'Translation Review'!F27="plain_english"),0,1)</x:f>
        <x:v>0</x:v>
      </x:c>
      <x:c r="D27" s="8" t="n">
        <x:f>IFERROR(IF(AND(OR(LEN('Translation Review'!P27)=21,LEN('Translation Review'!P27)=26),MID('Translation Review'!P27,6,1)="-",MID('Translation Review'!P27,9,1)="-",MID('Translation Review'!P27,12,1)="T",MID('Translation Review'!P27,15,1)=":",MID('Translation Review'!P27,18,1)=":",VALUE(MID('Translation Review'!P27,7,2))&gt;=1,VALUE(MID('Translation Review'!P27,7,2))&lt;=12,VALUE(MID('Translation Review'!P27,10,2))&gt;=1,VALUE(MID('Translation Review'!P27,10,2))&lt;=CHOOSE(VALUE(MID('Translation Review'!P27,7,2)),31,IF(AND(MOD(VALUE(MID('Translation Review'!P27,2,4)),4)=0,OR(MOD(VALUE(MID('Translation Review'!P27,2,4)),100)&lt;&gt;0,MOD(VALUE(MID('Translation Review'!P27,2,4)),400)=0)),29,28),31,30,31,30,31,31,30,31,30,31),VALUE(MID('Translation Review'!P27,13,2))&gt;=0,VALUE(MID('Translation Review'!P27,13,2))&lt;=23,VALUE(MID('Translation Review'!P27,16,2))&gt;=0,VALUE(MID('Translation Review'!P27,16,2))&lt;=59,VALUE(MID('Translation Review'!P27,19,2))&gt;=0,VALUE(MID('Translation Review'!P27,19,2))&lt;=59,OR(AND(LEN('Translation Review'!P27)=21,RIGHT('Translation Review'!P27,1)="Z"),AND(LEN('Translation Review'!P27)=26,OR(MID('Translation Review'!P27,21,1)="+",MID('Translation Review'!P27,21,1)="-"),MID('Translation Review'!P27,24,1)=":",VALUE(MID('Translation Review'!P27,22,2))&gt;=0,VALUE(MID('Translation Review'!P27,22,2))&lt;=23,VALUE(MID('Translation Review'!P27,25,2))&gt;=0,VALUE(MID('Translation Review'!P27,25,2))&lt;=59))),0,1),1)</x:f>
        <x:v>0</x:v>
      </x:c>
      <x:c r="E27" s="8" t="n">
        <x:f>IF(AND(ISNUMBER('Translation Review'!Q27),'Translation Review'!Q27&gt;0,'Translation Review'!Q27=INT('Translation Review'!Q27)),0,1)</x:f>
        <x:v>0</x:v>
      </x:c>
    </x:row>
    <x:row r="28" ht="24" customHeight="1">
      <x:c r="A28" s="8" t="str">
        <x:v>act_body_manual_high.03</x:v>
      </x:c>
      <x:c r="B28" s="8" t="n">
        <x:f>IFERROR(IF(REGEXTEST('Translation Review'!E28,"[ก-๙]"),1,0),1)</x:f>
        <x:v>0</x:v>
      </x:c>
      <x:c r="C28" s="8" t="n">
        <x:f>IF(OR('Translation Review'!F28="direct",'Translation Review'!F28="plain_english"),0,1)</x:f>
        <x:v>0</x:v>
      </x:c>
      <x:c r="D28" s="8" t="n">
        <x:f>IFERROR(IF(AND(OR(LEN('Translation Review'!P28)=21,LEN('Translation Review'!P28)=26),MID('Translation Review'!P28,6,1)="-",MID('Translation Review'!P28,9,1)="-",MID('Translation Review'!P28,12,1)="T",MID('Translation Review'!P28,15,1)=":",MID('Translation Review'!P28,18,1)=":",VALUE(MID('Translation Review'!P28,7,2))&gt;=1,VALUE(MID('Translation Review'!P28,7,2))&lt;=12,VALUE(MID('Translation Review'!P28,10,2))&gt;=1,VALUE(MID('Translation Review'!P28,10,2))&lt;=CHOOSE(VALUE(MID('Translation Review'!P28,7,2)),31,IF(AND(MOD(VALUE(MID('Translation Review'!P28,2,4)),4)=0,OR(MOD(VALUE(MID('Translation Review'!P28,2,4)),100)&lt;&gt;0,MOD(VALUE(MID('Translation Review'!P28,2,4)),400)=0)),29,28),31,30,31,30,31,31,30,31,30,31),VALUE(MID('Translation Review'!P28,13,2))&gt;=0,VALUE(MID('Translation Review'!P28,13,2))&lt;=23,VALUE(MID('Translation Review'!P28,16,2))&gt;=0,VALUE(MID('Translation Review'!P28,16,2))&lt;=59,VALUE(MID('Translation Review'!P28,19,2))&gt;=0,VALUE(MID('Translation Review'!P28,19,2))&lt;=59,OR(AND(LEN('Translation Review'!P28)=21,RIGHT('Translation Review'!P28,1)="Z"),AND(LEN('Translation Review'!P28)=26,OR(MID('Translation Review'!P28,21,1)="+",MID('Translation Review'!P28,21,1)="-"),MID('Translation Review'!P28,24,1)=":",VALUE(MID('Translation Review'!P28,22,2))&gt;=0,VALUE(MID('Translation Review'!P28,22,2))&lt;=23,VALUE(MID('Translation Review'!P28,25,2))&gt;=0,VALUE(MID('Translation Review'!P28,25,2))&lt;=59))),0,1),1)</x:f>
        <x:v>0</x:v>
      </x:c>
      <x:c r="E28" s="8" t="n">
        <x:f>IF(AND(ISNUMBER('Translation Review'!Q28),'Translation Review'!Q28&gt;0,'Translation Review'!Q28=INT('Translation Review'!Q28)),0,1)</x:f>
        <x:v>0</x:v>
      </x:c>
    </x:row>
    <x:row r="29" ht="24" customHeight="1">
      <x:c r="A29" s="8" t="str">
        <x:v>act_body_manual_medium.01</x:v>
      </x:c>
      <x:c r="B29" s="8" t="n">
        <x:f>IFERROR(IF(REGEXTEST('Translation Review'!E29,"[ก-๙]"),1,0),1)</x:f>
        <x:v>0</x:v>
      </x:c>
      <x:c r="C29" s="8" t="n">
        <x:f>IF(OR('Translation Review'!F29="direct",'Translation Review'!F29="plain_english"),0,1)</x:f>
        <x:v>0</x:v>
      </x:c>
      <x:c r="D29" s="8" t="n">
        <x:f>IFERROR(IF(AND(OR(LEN('Translation Review'!P29)=21,LEN('Translation Review'!P29)=26),MID('Translation Review'!P29,6,1)="-",MID('Translation Review'!P29,9,1)="-",MID('Translation Review'!P29,12,1)="T",MID('Translation Review'!P29,15,1)=":",MID('Translation Review'!P29,18,1)=":",VALUE(MID('Translation Review'!P29,7,2))&gt;=1,VALUE(MID('Translation Review'!P29,7,2))&lt;=12,VALUE(MID('Translation Review'!P29,10,2))&gt;=1,VALUE(MID('Translation Review'!P29,10,2))&lt;=CHOOSE(VALUE(MID('Translation Review'!P29,7,2)),31,IF(AND(MOD(VALUE(MID('Translation Review'!P29,2,4)),4)=0,OR(MOD(VALUE(MID('Translation Review'!P29,2,4)),100)&lt;&gt;0,MOD(VALUE(MID('Translation Review'!P29,2,4)),400)=0)),29,28),31,30,31,30,31,31,30,31,30,31),VALUE(MID('Translation Review'!P29,13,2))&gt;=0,VALUE(MID('Translation Review'!P29,13,2))&lt;=23,VALUE(MID('Translation Review'!P29,16,2))&gt;=0,VALUE(MID('Translation Review'!P29,16,2))&lt;=59,VALUE(MID('Translation Review'!P29,19,2))&gt;=0,VALUE(MID('Translation Review'!P29,19,2))&lt;=59,OR(AND(LEN('Translation Review'!P29)=21,RIGHT('Translation Review'!P29,1)="Z"),AND(LEN('Translation Review'!P29)=26,OR(MID('Translation Review'!P29,21,1)="+",MID('Translation Review'!P29,21,1)="-"),MID('Translation Review'!P29,24,1)=":",VALUE(MID('Translation Review'!P29,22,2))&gt;=0,VALUE(MID('Translation Review'!P29,22,2))&lt;=23,VALUE(MID('Translation Review'!P29,25,2))&gt;=0,VALUE(MID('Translation Review'!P29,25,2))&lt;=59))),0,1),1)</x:f>
        <x:v>0</x:v>
      </x:c>
      <x:c r="E29" s="8" t="n">
        <x:f>IF(AND(ISNUMBER('Translation Review'!Q29),'Translation Review'!Q29&gt;0,'Translation Review'!Q29=INT('Translation Review'!Q29)),0,1)</x:f>
        <x:v>0</x:v>
      </x:c>
    </x:row>
    <x:row r="30" ht="24" customHeight="1">
      <x:c r="A30" s="8" t="str">
        <x:v>act_body_manual_medium.02</x:v>
      </x:c>
      <x:c r="B30" s="8" t="n">
        <x:f>IFERROR(IF(REGEXTEST('Translation Review'!E30,"[ก-๙]"),1,0),1)</x:f>
        <x:v>0</x:v>
      </x:c>
      <x:c r="C30" s="8" t="n">
        <x:f>IF(OR('Translation Review'!F30="direct",'Translation Review'!F30="plain_english"),0,1)</x:f>
        <x:v>0</x:v>
      </x:c>
      <x:c r="D30" s="8" t="n">
        <x:f>IFERROR(IF(AND(OR(LEN('Translation Review'!P30)=21,LEN('Translation Review'!P30)=26),MID('Translation Review'!P30,6,1)="-",MID('Translation Review'!P30,9,1)="-",MID('Translation Review'!P30,12,1)="T",MID('Translation Review'!P30,15,1)=":",MID('Translation Review'!P30,18,1)=":",VALUE(MID('Translation Review'!P30,7,2))&gt;=1,VALUE(MID('Translation Review'!P30,7,2))&lt;=12,VALUE(MID('Translation Review'!P30,10,2))&gt;=1,VALUE(MID('Translation Review'!P30,10,2))&lt;=CHOOSE(VALUE(MID('Translation Review'!P30,7,2)),31,IF(AND(MOD(VALUE(MID('Translation Review'!P30,2,4)),4)=0,OR(MOD(VALUE(MID('Translation Review'!P30,2,4)),100)&lt;&gt;0,MOD(VALUE(MID('Translation Review'!P30,2,4)),400)=0)),29,28),31,30,31,30,31,31,30,31,30,31),VALUE(MID('Translation Review'!P30,13,2))&gt;=0,VALUE(MID('Translation Review'!P30,13,2))&lt;=23,VALUE(MID('Translation Review'!P30,16,2))&gt;=0,VALUE(MID('Translation Review'!P30,16,2))&lt;=59,VALUE(MID('Translation Review'!P30,19,2))&gt;=0,VALUE(MID('Translation Review'!P30,19,2))&lt;=59,OR(AND(LEN('Translation Review'!P30)=21,RIGHT('Translation Review'!P30,1)="Z"),AND(LEN('Translation Review'!P30)=26,OR(MID('Translation Review'!P30,21,1)="+",MID('Translation Review'!P30,21,1)="-"),MID('Translation Review'!P30,24,1)=":",VALUE(MID('Translation Review'!P30,22,2))&gt;=0,VALUE(MID('Translation Review'!P30,22,2))&lt;=23,VALUE(MID('Translation Review'!P30,25,2))&gt;=0,VALUE(MID('Translation Review'!P30,25,2))&lt;=59))),0,1),1)</x:f>
        <x:v>0</x:v>
      </x:c>
      <x:c r="E30" s="8" t="n">
        <x:f>IF(AND(ISNUMBER('Translation Review'!Q30),'Translation Review'!Q30&gt;0,'Translation Review'!Q30=INT('Translation Review'!Q30)),0,1)</x:f>
        <x:v>0</x:v>
      </x:c>
    </x:row>
    <x:row r="31" ht="24" customHeight="1">
      <x:c r="A31" s="8" t="str">
        <x:v>act_body_manual_medium.03</x:v>
      </x:c>
      <x:c r="B31" s="8" t="n">
        <x:f>IFERROR(IF(REGEXTEST('Translation Review'!E31,"[ก-๙]"),1,0),1)</x:f>
        <x:v>0</x:v>
      </x:c>
      <x:c r="C31" s="8" t="n">
        <x:f>IF(OR('Translation Review'!F31="direct",'Translation Review'!F31="plain_english"),0,1)</x:f>
        <x:v>0</x:v>
      </x:c>
      <x:c r="D31" s="8" t="n">
        <x:f>IFERROR(IF(AND(OR(LEN('Translation Review'!P31)=21,LEN('Translation Review'!P31)=26),MID('Translation Review'!P31,6,1)="-",MID('Translation Review'!P31,9,1)="-",MID('Translation Review'!P31,12,1)="T",MID('Translation Review'!P31,15,1)=":",MID('Translation Review'!P31,18,1)=":",VALUE(MID('Translation Review'!P31,7,2))&gt;=1,VALUE(MID('Translation Review'!P31,7,2))&lt;=12,VALUE(MID('Translation Review'!P31,10,2))&gt;=1,VALUE(MID('Translation Review'!P31,10,2))&lt;=CHOOSE(VALUE(MID('Translation Review'!P31,7,2)),31,IF(AND(MOD(VALUE(MID('Translation Review'!P31,2,4)),4)=0,OR(MOD(VALUE(MID('Translation Review'!P31,2,4)),100)&lt;&gt;0,MOD(VALUE(MID('Translation Review'!P31,2,4)),400)=0)),29,28),31,30,31,30,31,31,30,31,30,31),VALUE(MID('Translation Review'!P31,13,2))&gt;=0,VALUE(MID('Translation Review'!P31,13,2))&lt;=23,VALUE(MID('Translation Review'!P31,16,2))&gt;=0,VALUE(MID('Translation Review'!P31,16,2))&lt;=59,VALUE(MID('Translation Review'!P31,19,2))&gt;=0,VALUE(MID('Translation Review'!P31,19,2))&lt;=59,OR(AND(LEN('Translation Review'!P31)=21,RIGHT('Translation Review'!P31,1)="Z"),AND(LEN('Translation Review'!P31)=26,OR(MID('Translation Review'!P31,21,1)="+",MID('Translation Review'!P31,21,1)="-"),MID('Translation Review'!P31,24,1)=":",VALUE(MID('Translation Review'!P31,22,2))&gt;=0,VALUE(MID('Translation Review'!P31,22,2))&lt;=23,VALUE(MID('Translation Review'!P31,25,2))&gt;=0,VALUE(MID('Translation Review'!P31,25,2))&lt;=59))),0,1),1)</x:f>
        <x:v>0</x:v>
      </x:c>
      <x:c r="E31" s="8" t="n">
        <x:f>IF(AND(ISNUMBER('Translation Review'!Q31),'Translation Review'!Q31&gt;0,'Translation Review'!Q31=INT('Translation Review'!Q31)),0,1)</x:f>
        <x:v>0</x:v>
      </x:c>
    </x:row>
    <x:row r="32" ht="24" customHeight="1">
      <x:c r="A32" s="8" t="str">
        <x:v>act_body_manual_medium.04</x:v>
      </x:c>
      <x:c r="B32" s="8" t="n">
        <x:f>IFERROR(IF(REGEXTEST('Translation Review'!E32,"[ก-๙]"),1,0),1)</x:f>
        <x:v>0</x:v>
      </x:c>
      <x:c r="C32" s="8" t="n">
        <x:f>IF(OR('Translation Review'!F32="direct",'Translation Review'!F32="plain_english"),0,1)</x:f>
        <x:v>0</x:v>
      </x:c>
      <x:c r="D32" s="8" t="n">
        <x:f>IFERROR(IF(AND(OR(LEN('Translation Review'!P32)=21,LEN('Translation Review'!P32)=26),MID('Translation Review'!P32,6,1)="-",MID('Translation Review'!P32,9,1)="-",MID('Translation Review'!P32,12,1)="T",MID('Translation Review'!P32,15,1)=":",MID('Translation Review'!P32,18,1)=":",VALUE(MID('Translation Review'!P32,7,2))&gt;=1,VALUE(MID('Translation Review'!P32,7,2))&lt;=12,VALUE(MID('Translation Review'!P32,10,2))&gt;=1,VALUE(MID('Translation Review'!P32,10,2))&lt;=CHOOSE(VALUE(MID('Translation Review'!P32,7,2)),31,IF(AND(MOD(VALUE(MID('Translation Review'!P32,2,4)),4)=0,OR(MOD(VALUE(MID('Translation Review'!P32,2,4)),100)&lt;&gt;0,MOD(VALUE(MID('Translation Review'!P32,2,4)),400)=0)),29,28),31,30,31,30,31,31,30,31,30,31),VALUE(MID('Translation Review'!P32,13,2))&gt;=0,VALUE(MID('Translation Review'!P32,13,2))&lt;=23,VALUE(MID('Translation Review'!P32,16,2))&gt;=0,VALUE(MID('Translation Review'!P32,16,2))&lt;=59,VALUE(MID('Translation Review'!P32,19,2))&gt;=0,VALUE(MID('Translation Review'!P32,19,2))&lt;=59,OR(AND(LEN('Translation Review'!P32)=21,RIGHT('Translation Review'!P32,1)="Z"),AND(LEN('Translation Review'!P32)=26,OR(MID('Translation Review'!P32,21,1)="+",MID('Translation Review'!P32,21,1)="-"),MID('Translation Review'!P32,24,1)=":",VALUE(MID('Translation Review'!P32,22,2))&gt;=0,VALUE(MID('Translation Review'!P32,22,2))&lt;=23,VALUE(MID('Translation Review'!P32,25,2))&gt;=0,VALUE(MID('Translation Review'!P32,25,2))&lt;=59))),0,1),1)</x:f>
        <x:v>0</x:v>
      </x:c>
      <x:c r="E32" s="8" t="n">
        <x:f>IF(AND(ISNUMBER('Translation Review'!Q32),'Translation Review'!Q32&gt;0,'Translation Review'!Q32=INT('Translation Review'!Q32)),0,1)</x:f>
        <x:v>0</x:v>
      </x:c>
    </x:row>
    <x:row r="33" ht="24" customHeight="1">
      <x:c r="A33" s="8" t="str">
        <x:v>act_body_manual_very_high.01</x:v>
      </x:c>
      <x:c r="B33" s="8" t="n">
        <x:f>IFERROR(IF(REGEXTEST('Translation Review'!E33,"[ก-๙]"),1,0),1)</x:f>
        <x:v>0</x:v>
      </x:c>
      <x:c r="C33" s="8" t="n">
        <x:f>IF(OR('Translation Review'!F33="direct",'Translation Review'!F33="plain_english"),0,1)</x:f>
        <x:v>0</x:v>
      </x:c>
      <x:c r="D33" s="8" t="n">
        <x:f>IFERROR(IF(AND(OR(LEN('Translation Review'!P33)=21,LEN('Translation Review'!P33)=26),MID('Translation Review'!P33,6,1)="-",MID('Translation Review'!P33,9,1)="-",MID('Translation Review'!P33,12,1)="T",MID('Translation Review'!P33,15,1)=":",MID('Translation Review'!P33,18,1)=":",VALUE(MID('Translation Review'!P33,7,2))&gt;=1,VALUE(MID('Translation Review'!P33,7,2))&lt;=12,VALUE(MID('Translation Review'!P33,10,2))&gt;=1,VALUE(MID('Translation Review'!P33,10,2))&lt;=CHOOSE(VALUE(MID('Translation Review'!P33,7,2)),31,IF(AND(MOD(VALUE(MID('Translation Review'!P33,2,4)),4)=0,OR(MOD(VALUE(MID('Translation Review'!P33,2,4)),100)&lt;&gt;0,MOD(VALUE(MID('Translation Review'!P33,2,4)),400)=0)),29,28),31,30,31,30,31,31,30,31,30,31),VALUE(MID('Translation Review'!P33,13,2))&gt;=0,VALUE(MID('Translation Review'!P33,13,2))&lt;=23,VALUE(MID('Translation Review'!P33,16,2))&gt;=0,VALUE(MID('Translation Review'!P33,16,2))&lt;=59,VALUE(MID('Translation Review'!P33,19,2))&gt;=0,VALUE(MID('Translation Review'!P33,19,2))&lt;=59,OR(AND(LEN('Translation Review'!P33)=21,RIGHT('Translation Review'!P33,1)="Z"),AND(LEN('Translation Review'!P33)=26,OR(MID('Translation Review'!P33,21,1)="+",MID('Translation Review'!P33,21,1)="-"),MID('Translation Review'!P33,24,1)=":",VALUE(MID('Translation Review'!P33,22,2))&gt;=0,VALUE(MID('Translation Review'!P33,22,2))&lt;=23,VALUE(MID('Translation Review'!P33,25,2))&gt;=0,VALUE(MID('Translation Review'!P33,25,2))&lt;=59))),0,1),1)</x:f>
        <x:v>0</x:v>
      </x:c>
      <x:c r="E33" s="8" t="n">
        <x:f>IF(AND(ISNUMBER('Translation Review'!Q33),'Translation Review'!Q33&gt;0,'Translation Review'!Q33=INT('Translation Review'!Q33)),0,1)</x:f>
        <x:v>0</x:v>
      </x:c>
    </x:row>
    <x:row r="34" ht="24" customHeight="1">
      <x:c r="A34" s="8" t="str">
        <x:v>act_body_manual_very_high.02</x:v>
      </x:c>
      <x:c r="B34" s="8" t="n">
        <x:f>IFERROR(IF(REGEXTEST('Translation Review'!E34,"[ก-๙]"),1,0),1)</x:f>
        <x:v>0</x:v>
      </x:c>
      <x:c r="C34" s="8" t="n">
        <x:f>IF(OR('Translation Review'!F34="direct",'Translation Review'!F34="plain_english"),0,1)</x:f>
        <x:v>0</x:v>
      </x:c>
      <x:c r="D34" s="8" t="n">
        <x:f>IFERROR(IF(AND(OR(LEN('Translation Review'!P34)=21,LEN('Translation Review'!P34)=26),MID('Translation Review'!P34,6,1)="-",MID('Translation Review'!P34,9,1)="-",MID('Translation Review'!P34,12,1)="T",MID('Translation Review'!P34,15,1)=":",MID('Translation Review'!P34,18,1)=":",VALUE(MID('Translation Review'!P34,7,2))&gt;=1,VALUE(MID('Translation Review'!P34,7,2))&lt;=12,VALUE(MID('Translation Review'!P34,10,2))&gt;=1,VALUE(MID('Translation Review'!P34,10,2))&lt;=CHOOSE(VALUE(MID('Translation Review'!P34,7,2)),31,IF(AND(MOD(VALUE(MID('Translation Review'!P34,2,4)),4)=0,OR(MOD(VALUE(MID('Translation Review'!P34,2,4)),100)&lt;&gt;0,MOD(VALUE(MID('Translation Review'!P34,2,4)),400)=0)),29,28),31,30,31,30,31,31,30,31,30,31),VALUE(MID('Translation Review'!P34,13,2))&gt;=0,VALUE(MID('Translation Review'!P34,13,2))&lt;=23,VALUE(MID('Translation Review'!P34,16,2))&gt;=0,VALUE(MID('Translation Review'!P34,16,2))&lt;=59,VALUE(MID('Translation Review'!P34,19,2))&gt;=0,VALUE(MID('Translation Review'!P34,19,2))&lt;=59,OR(AND(LEN('Translation Review'!P34)=21,RIGHT('Translation Review'!P34,1)="Z"),AND(LEN('Translation Review'!P34)=26,OR(MID('Translation Review'!P34,21,1)="+",MID('Translation Review'!P34,21,1)="-"),MID('Translation Review'!P34,24,1)=":",VALUE(MID('Translation Review'!P34,22,2))&gt;=0,VALUE(MID('Translation Review'!P34,22,2))&lt;=23,VALUE(MID('Translation Review'!P34,25,2))&gt;=0,VALUE(MID('Translation Review'!P34,25,2))&lt;=59))),0,1),1)</x:f>
        <x:v>0</x:v>
      </x:c>
      <x:c r="E34" s="8" t="n">
        <x:f>IF(AND(ISNUMBER('Translation Review'!Q34),'Translation Review'!Q34&gt;0,'Translation Review'!Q34=INT('Translation Review'!Q34)),0,1)</x:f>
        <x:v>0</x:v>
      </x:c>
    </x:row>
    <x:row r="35" ht="24" customHeight="1">
      <x:c r="A35" s="8" t="str">
        <x:v>act_body_manual_very_high.03</x:v>
      </x:c>
      <x:c r="B35" s="8" t="n">
        <x:f>IFERROR(IF(REGEXTEST('Translation Review'!E35,"[ก-๙]"),1,0),1)</x:f>
        <x:v>0</x:v>
      </x:c>
      <x:c r="C35" s="8" t="n">
        <x:f>IF(OR('Translation Review'!F35="direct",'Translation Review'!F35="plain_english"),0,1)</x:f>
        <x:v>0</x:v>
      </x:c>
      <x:c r="D35" s="8" t="n">
        <x:f>IFERROR(IF(AND(OR(LEN('Translation Review'!P35)=21,LEN('Translation Review'!P35)=26),MID('Translation Review'!P35,6,1)="-",MID('Translation Review'!P35,9,1)="-",MID('Translation Review'!P35,12,1)="T",MID('Translation Review'!P35,15,1)=":",MID('Translation Review'!P35,18,1)=":",VALUE(MID('Translation Review'!P35,7,2))&gt;=1,VALUE(MID('Translation Review'!P35,7,2))&lt;=12,VALUE(MID('Translation Review'!P35,10,2))&gt;=1,VALUE(MID('Translation Review'!P35,10,2))&lt;=CHOOSE(VALUE(MID('Translation Review'!P35,7,2)),31,IF(AND(MOD(VALUE(MID('Translation Review'!P35,2,4)),4)=0,OR(MOD(VALUE(MID('Translation Review'!P35,2,4)),100)&lt;&gt;0,MOD(VALUE(MID('Translation Review'!P35,2,4)),400)=0)),29,28),31,30,31,30,31,31,30,31,30,31),VALUE(MID('Translation Review'!P35,13,2))&gt;=0,VALUE(MID('Translation Review'!P35,13,2))&lt;=23,VALUE(MID('Translation Review'!P35,16,2))&gt;=0,VALUE(MID('Translation Review'!P35,16,2))&lt;=59,VALUE(MID('Translation Review'!P35,19,2))&gt;=0,VALUE(MID('Translation Review'!P35,19,2))&lt;=59,OR(AND(LEN('Translation Review'!P35)=21,RIGHT('Translation Review'!P35,1)="Z"),AND(LEN('Translation Review'!P35)=26,OR(MID('Translation Review'!P35,21,1)="+",MID('Translation Review'!P35,21,1)="-"),MID('Translation Review'!P35,24,1)=":",VALUE(MID('Translation Review'!P35,22,2))&gt;=0,VALUE(MID('Translation Review'!P35,22,2))&lt;=23,VALUE(MID('Translation Review'!P35,25,2))&gt;=0,VALUE(MID('Translation Review'!P35,25,2))&lt;=59))),0,1),1)</x:f>
        <x:v>0</x:v>
      </x:c>
      <x:c r="E35" s="8" t="n">
        <x:f>IF(AND(ISNUMBER('Translation Review'!Q35),'Translation Review'!Q35&gt;0,'Translation Review'!Q35=INT('Translation Review'!Q35)),0,1)</x:f>
        <x:v>0</x:v>
      </x:c>
    </x:row>
    <x:row r="36" ht="24" customHeight="1">
      <x:c r="A36" s="8" t="str">
        <x:v>act_body_manual_very_high.04</x:v>
      </x:c>
      <x:c r="B36" s="8" t="n">
        <x:f>IFERROR(IF(REGEXTEST('Translation Review'!E36,"[ก-๙]"),1,0),1)</x:f>
        <x:v>0</x:v>
      </x:c>
      <x:c r="C36" s="8" t="n">
        <x:f>IF(OR('Translation Review'!F36="direct",'Translation Review'!F36="plain_english"),0,1)</x:f>
        <x:v>0</x:v>
      </x:c>
      <x:c r="D36" s="8" t="n">
        <x:f>IFERROR(IF(AND(OR(LEN('Translation Review'!P36)=21,LEN('Translation Review'!P36)=26),MID('Translation Review'!P36,6,1)="-",MID('Translation Review'!P36,9,1)="-",MID('Translation Review'!P36,12,1)="T",MID('Translation Review'!P36,15,1)=":",MID('Translation Review'!P36,18,1)=":",VALUE(MID('Translation Review'!P36,7,2))&gt;=1,VALUE(MID('Translation Review'!P36,7,2))&lt;=12,VALUE(MID('Translation Review'!P36,10,2))&gt;=1,VALUE(MID('Translation Review'!P36,10,2))&lt;=CHOOSE(VALUE(MID('Translation Review'!P36,7,2)),31,IF(AND(MOD(VALUE(MID('Translation Review'!P36,2,4)),4)=0,OR(MOD(VALUE(MID('Translation Review'!P36,2,4)),100)&lt;&gt;0,MOD(VALUE(MID('Translation Review'!P36,2,4)),400)=0)),29,28),31,30,31,30,31,31,30,31,30,31),VALUE(MID('Translation Review'!P36,13,2))&gt;=0,VALUE(MID('Translation Review'!P36,13,2))&lt;=23,VALUE(MID('Translation Review'!P36,16,2))&gt;=0,VALUE(MID('Translation Review'!P36,16,2))&lt;=59,VALUE(MID('Translation Review'!P36,19,2))&gt;=0,VALUE(MID('Translation Review'!P36,19,2))&lt;=59,OR(AND(LEN('Translation Review'!P36)=21,RIGHT('Translation Review'!P36,1)="Z"),AND(LEN('Translation Review'!P36)=26,OR(MID('Translation Review'!P36,21,1)="+",MID('Translation Review'!P36,21,1)="-"),MID('Translation Review'!P36,24,1)=":",VALUE(MID('Translation Review'!P36,22,2))&gt;=0,VALUE(MID('Translation Review'!P36,22,2))&lt;=23,VALUE(MID('Translation Review'!P36,25,2))&gt;=0,VALUE(MID('Translation Review'!P36,25,2))&lt;=59))),0,1),1)</x:f>
        <x:v>0</x:v>
      </x:c>
      <x:c r="E36" s="8" t="n">
        <x:f>IF(AND(ISNUMBER('Translation Review'!Q36),'Translation Review'!Q36&gt;0,'Translation Review'!Q36=INT('Translation Review'!Q36)),0,1)</x:f>
        <x:v>0</x:v>
      </x:c>
    </x:row>
    <x:row r="37" ht="24" customHeight="1">
      <x:c r="A37" s="8" t="str">
        <x:v>act_body_neck_high.01</x:v>
      </x:c>
      <x:c r="B37" s="8" t="n">
        <x:f>IFERROR(IF(REGEXTEST('Translation Review'!E37,"[ก-๙]"),1,0),1)</x:f>
        <x:v>0</x:v>
      </x:c>
      <x:c r="C37" s="8" t="n">
        <x:f>IF(OR('Translation Review'!F37="direct",'Translation Review'!F37="plain_english"),0,1)</x:f>
        <x:v>0</x:v>
      </x:c>
      <x:c r="D37" s="8" t="n">
        <x:f>IFERROR(IF(AND(OR(LEN('Translation Review'!P37)=21,LEN('Translation Review'!P37)=26),MID('Translation Review'!P37,6,1)="-",MID('Translation Review'!P37,9,1)="-",MID('Translation Review'!P37,12,1)="T",MID('Translation Review'!P37,15,1)=":",MID('Translation Review'!P37,18,1)=":",VALUE(MID('Translation Review'!P37,7,2))&gt;=1,VALUE(MID('Translation Review'!P37,7,2))&lt;=12,VALUE(MID('Translation Review'!P37,10,2))&gt;=1,VALUE(MID('Translation Review'!P37,10,2))&lt;=CHOOSE(VALUE(MID('Translation Review'!P37,7,2)),31,IF(AND(MOD(VALUE(MID('Translation Review'!P37,2,4)),4)=0,OR(MOD(VALUE(MID('Translation Review'!P37,2,4)),100)&lt;&gt;0,MOD(VALUE(MID('Translation Review'!P37,2,4)),400)=0)),29,28),31,30,31,30,31,31,30,31,30,31),VALUE(MID('Translation Review'!P37,13,2))&gt;=0,VALUE(MID('Translation Review'!P37,13,2))&lt;=23,VALUE(MID('Translation Review'!P37,16,2))&gt;=0,VALUE(MID('Translation Review'!P37,16,2))&lt;=59,VALUE(MID('Translation Review'!P37,19,2))&gt;=0,VALUE(MID('Translation Review'!P37,19,2))&lt;=59,OR(AND(LEN('Translation Review'!P37)=21,RIGHT('Translation Review'!P37,1)="Z"),AND(LEN('Translation Review'!P37)=26,OR(MID('Translation Review'!P37,21,1)="+",MID('Translation Review'!P37,21,1)="-"),MID('Translation Review'!P37,24,1)=":",VALUE(MID('Translation Review'!P37,22,2))&gt;=0,VALUE(MID('Translation Review'!P37,22,2))&lt;=23,VALUE(MID('Translation Review'!P37,25,2))&gt;=0,VALUE(MID('Translation Review'!P37,25,2))&lt;=59))),0,1),1)</x:f>
        <x:v>0</x:v>
      </x:c>
      <x:c r="E37" s="8" t="n">
        <x:f>IF(AND(ISNUMBER('Translation Review'!Q37),'Translation Review'!Q37&gt;0,'Translation Review'!Q37=INT('Translation Review'!Q37)),0,1)</x:f>
        <x:v>0</x:v>
      </x:c>
    </x:row>
    <x:row r="38" ht="24" customHeight="1">
      <x:c r="A38" s="8" t="str">
        <x:v>act_body_neck_high.02</x:v>
      </x:c>
      <x:c r="B38" s="8" t="n">
        <x:f>IFERROR(IF(REGEXTEST('Translation Review'!E38,"[ก-๙]"),1,0),1)</x:f>
        <x:v>0</x:v>
      </x:c>
      <x:c r="C38" s="8" t="n">
        <x:f>IF(OR('Translation Review'!F38="direct",'Translation Review'!F38="plain_english"),0,1)</x:f>
        <x:v>0</x:v>
      </x:c>
      <x:c r="D38" s="8" t="n">
        <x:f>IFERROR(IF(AND(OR(LEN('Translation Review'!P38)=21,LEN('Translation Review'!P38)=26),MID('Translation Review'!P38,6,1)="-",MID('Translation Review'!P38,9,1)="-",MID('Translation Review'!P38,12,1)="T",MID('Translation Review'!P38,15,1)=":",MID('Translation Review'!P38,18,1)=":",VALUE(MID('Translation Review'!P38,7,2))&gt;=1,VALUE(MID('Translation Review'!P38,7,2))&lt;=12,VALUE(MID('Translation Review'!P38,10,2))&gt;=1,VALUE(MID('Translation Review'!P38,10,2))&lt;=CHOOSE(VALUE(MID('Translation Review'!P38,7,2)),31,IF(AND(MOD(VALUE(MID('Translation Review'!P38,2,4)),4)=0,OR(MOD(VALUE(MID('Translation Review'!P38,2,4)),100)&lt;&gt;0,MOD(VALUE(MID('Translation Review'!P38,2,4)),400)=0)),29,28),31,30,31,30,31,31,30,31,30,31),VALUE(MID('Translation Review'!P38,13,2))&gt;=0,VALUE(MID('Translation Review'!P38,13,2))&lt;=23,VALUE(MID('Translation Review'!P38,16,2))&gt;=0,VALUE(MID('Translation Review'!P38,16,2))&lt;=59,VALUE(MID('Translation Review'!P38,19,2))&gt;=0,VALUE(MID('Translation Review'!P38,19,2))&lt;=59,OR(AND(LEN('Translation Review'!P38)=21,RIGHT('Translation Review'!P38,1)="Z"),AND(LEN('Translation Review'!P38)=26,OR(MID('Translation Review'!P38,21,1)="+",MID('Translation Review'!P38,21,1)="-"),MID('Translation Review'!P38,24,1)=":",VALUE(MID('Translation Review'!P38,22,2))&gt;=0,VALUE(MID('Translation Review'!P38,22,2))&lt;=23,VALUE(MID('Translation Review'!P38,25,2))&gt;=0,VALUE(MID('Translation Review'!P38,25,2))&lt;=59))),0,1),1)</x:f>
        <x:v>0</x:v>
      </x:c>
      <x:c r="E38" s="8" t="n">
        <x:f>IF(AND(ISNUMBER('Translation Review'!Q38),'Translation Review'!Q38&gt;0,'Translation Review'!Q38=INT('Translation Review'!Q38)),0,1)</x:f>
        <x:v>0</x:v>
      </x:c>
    </x:row>
    <x:row r="39" ht="24" customHeight="1">
      <x:c r="A39" s="8" t="str">
        <x:v>act_body_neck_high.03</x:v>
      </x:c>
      <x:c r="B39" s="8" t="n">
        <x:f>IFERROR(IF(REGEXTEST('Translation Review'!E39,"[ก-๙]"),1,0),1)</x:f>
        <x:v>0</x:v>
      </x:c>
      <x:c r="C39" s="8" t="n">
        <x:f>IF(OR('Translation Review'!F39="direct",'Translation Review'!F39="plain_english"),0,1)</x:f>
        <x:v>0</x:v>
      </x:c>
      <x:c r="D39" s="8" t="n">
        <x:f>IFERROR(IF(AND(OR(LEN('Translation Review'!P39)=21,LEN('Translation Review'!P39)=26),MID('Translation Review'!P39,6,1)="-",MID('Translation Review'!P39,9,1)="-",MID('Translation Review'!P39,12,1)="T",MID('Translation Review'!P39,15,1)=":",MID('Translation Review'!P39,18,1)=":",VALUE(MID('Translation Review'!P39,7,2))&gt;=1,VALUE(MID('Translation Review'!P39,7,2))&lt;=12,VALUE(MID('Translation Review'!P39,10,2))&gt;=1,VALUE(MID('Translation Review'!P39,10,2))&lt;=CHOOSE(VALUE(MID('Translation Review'!P39,7,2)),31,IF(AND(MOD(VALUE(MID('Translation Review'!P39,2,4)),4)=0,OR(MOD(VALUE(MID('Translation Review'!P39,2,4)),100)&lt;&gt;0,MOD(VALUE(MID('Translation Review'!P39,2,4)),400)=0)),29,28),31,30,31,30,31,31,30,31,30,31),VALUE(MID('Translation Review'!P39,13,2))&gt;=0,VALUE(MID('Translation Review'!P39,13,2))&lt;=23,VALUE(MID('Translation Review'!P39,16,2))&gt;=0,VALUE(MID('Translation Review'!P39,16,2))&lt;=59,VALUE(MID('Translation Review'!P39,19,2))&gt;=0,VALUE(MID('Translation Review'!P39,19,2))&lt;=59,OR(AND(LEN('Translation Review'!P39)=21,RIGHT('Translation Review'!P39,1)="Z"),AND(LEN('Translation Review'!P39)=26,OR(MID('Translation Review'!P39,21,1)="+",MID('Translation Review'!P39,21,1)="-"),MID('Translation Review'!P39,24,1)=":",VALUE(MID('Translation Review'!P39,22,2))&gt;=0,VALUE(MID('Translation Review'!P39,22,2))&lt;=23,VALUE(MID('Translation Review'!P39,25,2))&gt;=0,VALUE(MID('Translation Review'!P39,25,2))&lt;=59))),0,1),1)</x:f>
        <x:v>0</x:v>
      </x:c>
      <x:c r="E39" s="8" t="n">
        <x:f>IF(AND(ISNUMBER('Translation Review'!Q39),'Translation Review'!Q39&gt;0,'Translation Review'!Q39=INT('Translation Review'!Q39)),0,1)</x:f>
        <x:v>0</x:v>
      </x:c>
    </x:row>
    <x:row r="40" ht="24" customHeight="1">
      <x:c r="A40" s="8" t="str">
        <x:v>act_body_neck_medium.01</x:v>
      </x:c>
      <x:c r="B40" s="8" t="n">
        <x:f>IFERROR(IF(REGEXTEST('Translation Review'!E40,"[ก-๙]"),1,0),1)</x:f>
        <x:v>0</x:v>
      </x:c>
      <x:c r="C40" s="8" t="n">
        <x:f>IF(OR('Translation Review'!F40="direct",'Translation Review'!F40="plain_english"),0,1)</x:f>
        <x:v>0</x:v>
      </x:c>
      <x:c r="D40" s="8" t="n">
        <x:f>IFERROR(IF(AND(OR(LEN('Translation Review'!P40)=21,LEN('Translation Review'!P40)=26),MID('Translation Review'!P40,6,1)="-",MID('Translation Review'!P40,9,1)="-",MID('Translation Review'!P40,12,1)="T",MID('Translation Review'!P40,15,1)=":",MID('Translation Review'!P40,18,1)=":",VALUE(MID('Translation Review'!P40,7,2))&gt;=1,VALUE(MID('Translation Review'!P40,7,2))&lt;=12,VALUE(MID('Translation Review'!P40,10,2))&gt;=1,VALUE(MID('Translation Review'!P40,10,2))&lt;=CHOOSE(VALUE(MID('Translation Review'!P40,7,2)),31,IF(AND(MOD(VALUE(MID('Translation Review'!P40,2,4)),4)=0,OR(MOD(VALUE(MID('Translation Review'!P40,2,4)),100)&lt;&gt;0,MOD(VALUE(MID('Translation Review'!P40,2,4)),400)=0)),29,28),31,30,31,30,31,31,30,31,30,31),VALUE(MID('Translation Review'!P40,13,2))&gt;=0,VALUE(MID('Translation Review'!P40,13,2))&lt;=23,VALUE(MID('Translation Review'!P40,16,2))&gt;=0,VALUE(MID('Translation Review'!P40,16,2))&lt;=59,VALUE(MID('Translation Review'!P40,19,2))&gt;=0,VALUE(MID('Translation Review'!P40,19,2))&lt;=59,OR(AND(LEN('Translation Review'!P40)=21,RIGHT('Translation Review'!P40,1)="Z"),AND(LEN('Translation Review'!P40)=26,OR(MID('Translation Review'!P40,21,1)="+",MID('Translation Review'!P40,21,1)="-"),MID('Translation Review'!P40,24,1)=":",VALUE(MID('Translation Review'!P40,22,2))&gt;=0,VALUE(MID('Translation Review'!P40,22,2))&lt;=23,VALUE(MID('Translation Review'!P40,25,2))&gt;=0,VALUE(MID('Translation Review'!P40,25,2))&lt;=59))),0,1),1)</x:f>
        <x:v>0</x:v>
      </x:c>
      <x:c r="E40" s="8" t="n">
        <x:f>IF(AND(ISNUMBER('Translation Review'!Q40),'Translation Review'!Q40&gt;0,'Translation Review'!Q40=INT('Translation Review'!Q40)),0,1)</x:f>
        <x:v>0</x:v>
      </x:c>
    </x:row>
    <x:row r="41" ht="24" customHeight="1">
      <x:c r="A41" s="8" t="str">
        <x:v>act_body_neck_medium.02</x:v>
      </x:c>
      <x:c r="B41" s="8" t="n">
        <x:f>IFERROR(IF(REGEXTEST('Translation Review'!E41,"[ก-๙]"),1,0),1)</x:f>
        <x:v>0</x:v>
      </x:c>
      <x:c r="C41" s="8" t="n">
        <x:f>IF(OR('Translation Review'!F41="direct",'Translation Review'!F41="plain_english"),0,1)</x:f>
        <x:v>0</x:v>
      </x:c>
      <x:c r="D41" s="8" t="n">
        <x:f>IFERROR(IF(AND(OR(LEN('Translation Review'!P41)=21,LEN('Translation Review'!P41)=26),MID('Translation Review'!P41,6,1)="-",MID('Translation Review'!P41,9,1)="-",MID('Translation Review'!P41,12,1)="T",MID('Translation Review'!P41,15,1)=":",MID('Translation Review'!P41,18,1)=":",VALUE(MID('Translation Review'!P41,7,2))&gt;=1,VALUE(MID('Translation Review'!P41,7,2))&lt;=12,VALUE(MID('Translation Review'!P41,10,2))&gt;=1,VALUE(MID('Translation Review'!P41,10,2))&lt;=CHOOSE(VALUE(MID('Translation Review'!P41,7,2)),31,IF(AND(MOD(VALUE(MID('Translation Review'!P41,2,4)),4)=0,OR(MOD(VALUE(MID('Translation Review'!P41,2,4)),100)&lt;&gt;0,MOD(VALUE(MID('Translation Review'!P41,2,4)),400)=0)),29,28),31,30,31,30,31,31,30,31,30,31),VALUE(MID('Translation Review'!P41,13,2))&gt;=0,VALUE(MID('Translation Review'!P41,13,2))&lt;=23,VALUE(MID('Translation Review'!P41,16,2))&gt;=0,VALUE(MID('Translation Review'!P41,16,2))&lt;=59,VALUE(MID('Translation Review'!P41,19,2))&gt;=0,VALUE(MID('Translation Review'!P41,19,2))&lt;=59,OR(AND(LEN('Translation Review'!P41)=21,RIGHT('Translation Review'!P41,1)="Z"),AND(LEN('Translation Review'!P41)=26,OR(MID('Translation Review'!P41,21,1)="+",MID('Translation Review'!P41,21,1)="-"),MID('Translation Review'!P41,24,1)=":",VALUE(MID('Translation Review'!P41,22,2))&gt;=0,VALUE(MID('Translation Review'!P41,22,2))&lt;=23,VALUE(MID('Translation Review'!P41,25,2))&gt;=0,VALUE(MID('Translation Review'!P41,25,2))&lt;=59))),0,1),1)</x:f>
        <x:v>0</x:v>
      </x:c>
      <x:c r="E41" s="8" t="n">
        <x:f>IF(AND(ISNUMBER('Translation Review'!Q41),'Translation Review'!Q41&gt;0,'Translation Review'!Q41=INT('Translation Review'!Q41)),0,1)</x:f>
        <x:v>0</x:v>
      </x:c>
    </x:row>
    <x:row r="42" ht="24" customHeight="1">
      <x:c r="A42" s="8" t="str">
        <x:v>act_body_neck_medium.03</x:v>
      </x:c>
      <x:c r="B42" s="8" t="n">
        <x:f>IFERROR(IF(REGEXTEST('Translation Review'!E42,"[ก-๙]"),1,0),1)</x:f>
        <x:v>0</x:v>
      </x:c>
      <x:c r="C42" s="8" t="n">
        <x:f>IF(OR('Translation Review'!F42="direct",'Translation Review'!F42="plain_english"),0,1)</x:f>
        <x:v>0</x:v>
      </x:c>
      <x:c r="D42" s="8" t="n">
        <x:f>IFERROR(IF(AND(OR(LEN('Translation Review'!P42)=21,LEN('Translation Review'!P42)=26),MID('Translation Review'!P42,6,1)="-",MID('Translation Review'!P42,9,1)="-",MID('Translation Review'!P42,12,1)="T",MID('Translation Review'!P42,15,1)=":",MID('Translation Review'!P42,18,1)=":",VALUE(MID('Translation Review'!P42,7,2))&gt;=1,VALUE(MID('Translation Review'!P42,7,2))&lt;=12,VALUE(MID('Translation Review'!P42,10,2))&gt;=1,VALUE(MID('Translation Review'!P42,10,2))&lt;=CHOOSE(VALUE(MID('Translation Review'!P42,7,2)),31,IF(AND(MOD(VALUE(MID('Translation Review'!P42,2,4)),4)=0,OR(MOD(VALUE(MID('Translation Review'!P42,2,4)),100)&lt;&gt;0,MOD(VALUE(MID('Translation Review'!P42,2,4)),400)=0)),29,28),31,30,31,30,31,31,30,31,30,31),VALUE(MID('Translation Review'!P42,13,2))&gt;=0,VALUE(MID('Translation Review'!P42,13,2))&lt;=23,VALUE(MID('Translation Review'!P42,16,2))&gt;=0,VALUE(MID('Translation Review'!P42,16,2))&lt;=59,VALUE(MID('Translation Review'!P42,19,2))&gt;=0,VALUE(MID('Translation Review'!P42,19,2))&lt;=59,OR(AND(LEN('Translation Review'!P42)=21,RIGHT('Translation Review'!P42,1)="Z"),AND(LEN('Translation Review'!P42)=26,OR(MID('Translation Review'!P42,21,1)="+",MID('Translation Review'!P42,21,1)="-"),MID('Translation Review'!P42,24,1)=":",VALUE(MID('Translation Review'!P42,22,2))&gt;=0,VALUE(MID('Translation Review'!P42,22,2))&lt;=23,VALUE(MID('Translation Review'!P42,25,2))&gt;=0,VALUE(MID('Translation Review'!P42,25,2))&lt;=59))),0,1),1)</x:f>
        <x:v>0</x:v>
      </x:c>
      <x:c r="E42" s="8" t="n">
        <x:f>IF(AND(ISNUMBER('Translation Review'!Q42),'Translation Review'!Q42&gt;0,'Translation Review'!Q42=INT('Translation Review'!Q42)),0,1)</x:f>
        <x:v>0</x:v>
      </x:c>
    </x:row>
    <x:row r="43" ht="24" customHeight="1">
      <x:c r="A43" s="8" t="str">
        <x:v>act_body_neck_very_high.01</x:v>
      </x:c>
      <x:c r="B43" s="8" t="n">
        <x:f>IFERROR(IF(REGEXTEST('Translation Review'!E43,"[ก-๙]"),1,0),1)</x:f>
        <x:v>0</x:v>
      </x:c>
      <x:c r="C43" s="8" t="n">
        <x:f>IF(OR('Translation Review'!F43="direct",'Translation Review'!F43="plain_english"),0,1)</x:f>
        <x:v>0</x:v>
      </x:c>
      <x:c r="D43" s="8" t="n">
        <x:f>IFERROR(IF(AND(OR(LEN('Translation Review'!P43)=21,LEN('Translation Review'!P43)=26),MID('Translation Review'!P43,6,1)="-",MID('Translation Review'!P43,9,1)="-",MID('Translation Review'!P43,12,1)="T",MID('Translation Review'!P43,15,1)=":",MID('Translation Review'!P43,18,1)=":",VALUE(MID('Translation Review'!P43,7,2))&gt;=1,VALUE(MID('Translation Review'!P43,7,2))&lt;=12,VALUE(MID('Translation Review'!P43,10,2))&gt;=1,VALUE(MID('Translation Review'!P43,10,2))&lt;=CHOOSE(VALUE(MID('Translation Review'!P43,7,2)),31,IF(AND(MOD(VALUE(MID('Translation Review'!P43,2,4)),4)=0,OR(MOD(VALUE(MID('Translation Review'!P43,2,4)),100)&lt;&gt;0,MOD(VALUE(MID('Translation Review'!P43,2,4)),400)=0)),29,28),31,30,31,30,31,31,30,31,30,31),VALUE(MID('Translation Review'!P43,13,2))&gt;=0,VALUE(MID('Translation Review'!P43,13,2))&lt;=23,VALUE(MID('Translation Review'!P43,16,2))&gt;=0,VALUE(MID('Translation Review'!P43,16,2))&lt;=59,VALUE(MID('Translation Review'!P43,19,2))&gt;=0,VALUE(MID('Translation Review'!P43,19,2))&lt;=59,OR(AND(LEN('Translation Review'!P43)=21,RIGHT('Translation Review'!P43,1)="Z"),AND(LEN('Translation Review'!P43)=26,OR(MID('Translation Review'!P43,21,1)="+",MID('Translation Review'!P43,21,1)="-"),MID('Translation Review'!P43,24,1)=":",VALUE(MID('Translation Review'!P43,22,2))&gt;=0,VALUE(MID('Translation Review'!P43,22,2))&lt;=23,VALUE(MID('Translation Review'!P43,25,2))&gt;=0,VALUE(MID('Translation Review'!P43,25,2))&lt;=59))),0,1),1)</x:f>
        <x:v>0</x:v>
      </x:c>
      <x:c r="E43" s="8" t="n">
        <x:f>IF(AND(ISNUMBER('Translation Review'!Q43),'Translation Review'!Q43&gt;0,'Translation Review'!Q43=INT('Translation Review'!Q43)),0,1)</x:f>
        <x:v>0</x:v>
      </x:c>
    </x:row>
    <x:row r="44" ht="24" customHeight="1">
      <x:c r="A44" s="8" t="str">
        <x:v>act_body_neck_very_high.02</x:v>
      </x:c>
      <x:c r="B44" s="8" t="n">
        <x:f>IFERROR(IF(REGEXTEST('Translation Review'!E44,"[ก-๙]"),1,0),1)</x:f>
        <x:v>0</x:v>
      </x:c>
      <x:c r="C44" s="8" t="n">
        <x:f>IF(OR('Translation Review'!F44="direct",'Translation Review'!F44="plain_english"),0,1)</x:f>
        <x:v>0</x:v>
      </x:c>
      <x:c r="D44" s="8" t="n">
        <x:f>IFERROR(IF(AND(OR(LEN('Translation Review'!P44)=21,LEN('Translation Review'!P44)=26),MID('Translation Review'!P44,6,1)="-",MID('Translation Review'!P44,9,1)="-",MID('Translation Review'!P44,12,1)="T",MID('Translation Review'!P44,15,1)=":",MID('Translation Review'!P44,18,1)=":",VALUE(MID('Translation Review'!P44,7,2))&gt;=1,VALUE(MID('Translation Review'!P44,7,2))&lt;=12,VALUE(MID('Translation Review'!P44,10,2))&gt;=1,VALUE(MID('Translation Review'!P44,10,2))&lt;=CHOOSE(VALUE(MID('Translation Review'!P44,7,2)),31,IF(AND(MOD(VALUE(MID('Translation Review'!P44,2,4)),4)=0,OR(MOD(VALUE(MID('Translation Review'!P44,2,4)),100)&lt;&gt;0,MOD(VALUE(MID('Translation Review'!P44,2,4)),400)=0)),29,28),31,30,31,30,31,31,30,31,30,31),VALUE(MID('Translation Review'!P44,13,2))&gt;=0,VALUE(MID('Translation Review'!P44,13,2))&lt;=23,VALUE(MID('Translation Review'!P44,16,2))&gt;=0,VALUE(MID('Translation Review'!P44,16,2))&lt;=59,VALUE(MID('Translation Review'!P44,19,2))&gt;=0,VALUE(MID('Translation Review'!P44,19,2))&lt;=59,OR(AND(LEN('Translation Review'!P44)=21,RIGHT('Translation Review'!P44,1)="Z"),AND(LEN('Translation Review'!P44)=26,OR(MID('Translation Review'!P44,21,1)="+",MID('Translation Review'!P44,21,1)="-"),MID('Translation Review'!P44,24,1)=":",VALUE(MID('Translation Review'!P44,22,2))&gt;=0,VALUE(MID('Translation Review'!P44,22,2))&lt;=23,VALUE(MID('Translation Review'!P44,25,2))&gt;=0,VALUE(MID('Translation Review'!P44,25,2))&lt;=59))),0,1),1)</x:f>
        <x:v>0</x:v>
      </x:c>
      <x:c r="E44" s="8" t="n">
        <x:f>IF(AND(ISNUMBER('Translation Review'!Q44),'Translation Review'!Q44&gt;0,'Translation Review'!Q44=INT('Translation Review'!Q44)),0,1)</x:f>
        <x:v>0</x:v>
      </x:c>
    </x:row>
    <x:row r="45" ht="24" customHeight="1">
      <x:c r="A45" s="8" t="str">
        <x:v>act_body_neck_very_high.03</x:v>
      </x:c>
      <x:c r="B45" s="8" t="n">
        <x:f>IFERROR(IF(REGEXTEST('Translation Review'!E45,"[ก-๙]"),1,0),1)</x:f>
        <x:v>0</x:v>
      </x:c>
      <x:c r="C45" s="8" t="n">
        <x:f>IF(OR('Translation Review'!F45="direct",'Translation Review'!F45="plain_english"),0,1)</x:f>
        <x:v>0</x:v>
      </x:c>
      <x:c r="D45" s="8" t="n">
        <x:f>IFERROR(IF(AND(OR(LEN('Translation Review'!P45)=21,LEN('Translation Review'!P45)=26),MID('Translation Review'!P45,6,1)="-",MID('Translation Review'!P45,9,1)="-",MID('Translation Review'!P45,12,1)="T",MID('Translation Review'!P45,15,1)=":",MID('Translation Review'!P45,18,1)=":",VALUE(MID('Translation Review'!P45,7,2))&gt;=1,VALUE(MID('Translation Review'!P45,7,2))&lt;=12,VALUE(MID('Translation Review'!P45,10,2))&gt;=1,VALUE(MID('Translation Review'!P45,10,2))&lt;=CHOOSE(VALUE(MID('Translation Review'!P45,7,2)),31,IF(AND(MOD(VALUE(MID('Translation Review'!P45,2,4)),4)=0,OR(MOD(VALUE(MID('Translation Review'!P45,2,4)),100)&lt;&gt;0,MOD(VALUE(MID('Translation Review'!P45,2,4)),400)=0)),29,28),31,30,31,30,31,31,30,31,30,31),VALUE(MID('Translation Review'!P45,13,2))&gt;=0,VALUE(MID('Translation Review'!P45,13,2))&lt;=23,VALUE(MID('Translation Review'!P45,16,2))&gt;=0,VALUE(MID('Translation Review'!P45,16,2))&lt;=59,VALUE(MID('Translation Review'!P45,19,2))&gt;=0,VALUE(MID('Translation Review'!P45,19,2))&lt;=59,OR(AND(LEN('Translation Review'!P45)=21,RIGHT('Translation Review'!P45,1)="Z"),AND(LEN('Translation Review'!P45)=26,OR(MID('Translation Review'!P45,21,1)="+",MID('Translation Review'!P45,21,1)="-"),MID('Translation Review'!P45,24,1)=":",VALUE(MID('Translation Review'!P45,22,2))&gt;=0,VALUE(MID('Translation Review'!P45,22,2))&lt;=23,VALUE(MID('Translation Review'!P45,25,2))&gt;=0,VALUE(MID('Translation Review'!P45,25,2))&lt;=59))),0,1),1)</x:f>
        <x:v>0</x:v>
      </x:c>
      <x:c r="E45" s="8" t="n">
        <x:f>IF(AND(ISNUMBER('Translation Review'!Q45),'Translation Review'!Q45&gt;0,'Translation Review'!Q45=INT('Translation Review'!Q45)),0,1)</x:f>
        <x:v>0</x:v>
      </x:c>
    </x:row>
    <x:row r="46" ht="24" customHeight="1">
      <x:c r="A46" s="8" t="str">
        <x:v>act_body_neck_very_high.04</x:v>
      </x:c>
      <x:c r="B46" s="8" t="n">
        <x:f>IFERROR(IF(REGEXTEST('Translation Review'!E46,"[ก-๙]"),1,0),1)</x:f>
        <x:v>0</x:v>
      </x:c>
      <x:c r="C46" s="8" t="n">
        <x:f>IF(OR('Translation Review'!F46="direct",'Translation Review'!F46="plain_english"),0,1)</x:f>
        <x:v>0</x:v>
      </x:c>
      <x:c r="D46" s="8" t="n">
        <x:f>IFERROR(IF(AND(OR(LEN('Translation Review'!P46)=21,LEN('Translation Review'!P46)=26),MID('Translation Review'!P46,6,1)="-",MID('Translation Review'!P46,9,1)="-",MID('Translation Review'!P46,12,1)="T",MID('Translation Review'!P46,15,1)=":",MID('Translation Review'!P46,18,1)=":",VALUE(MID('Translation Review'!P46,7,2))&gt;=1,VALUE(MID('Translation Review'!P46,7,2))&lt;=12,VALUE(MID('Translation Review'!P46,10,2))&gt;=1,VALUE(MID('Translation Review'!P46,10,2))&lt;=CHOOSE(VALUE(MID('Translation Review'!P46,7,2)),31,IF(AND(MOD(VALUE(MID('Translation Review'!P46,2,4)),4)=0,OR(MOD(VALUE(MID('Translation Review'!P46,2,4)),100)&lt;&gt;0,MOD(VALUE(MID('Translation Review'!P46,2,4)),400)=0)),29,28),31,30,31,30,31,31,30,31,30,31),VALUE(MID('Translation Review'!P46,13,2))&gt;=0,VALUE(MID('Translation Review'!P46,13,2))&lt;=23,VALUE(MID('Translation Review'!P46,16,2))&gt;=0,VALUE(MID('Translation Review'!P46,16,2))&lt;=59,VALUE(MID('Translation Review'!P46,19,2))&gt;=0,VALUE(MID('Translation Review'!P46,19,2))&lt;=59,OR(AND(LEN('Translation Review'!P46)=21,RIGHT('Translation Review'!P46,1)="Z"),AND(LEN('Translation Review'!P46)=26,OR(MID('Translation Review'!P46,21,1)="+",MID('Translation Review'!P46,21,1)="-"),MID('Translation Review'!P46,24,1)=":",VALUE(MID('Translation Review'!P46,22,2))&gt;=0,VALUE(MID('Translation Review'!P46,22,2))&lt;=23,VALUE(MID('Translation Review'!P46,25,2))&gt;=0,VALUE(MID('Translation Review'!P46,25,2))&lt;=59))),0,1),1)</x:f>
        <x:v>0</x:v>
      </x:c>
      <x:c r="E46" s="8" t="n">
        <x:f>IF(AND(ISNUMBER('Translation Review'!Q46),'Translation Review'!Q46&gt;0,'Translation Review'!Q46=INT('Translation Review'!Q46)),0,1)</x:f>
        <x:v>0</x:v>
      </x:c>
    </x:row>
    <x:row r="47" ht="24" customHeight="1">
      <x:c r="A47" s="8" t="str">
        <x:v>act_body_trunk_high.01</x:v>
      </x:c>
      <x:c r="B47" s="8" t="n">
        <x:f>IFERROR(IF(REGEXTEST('Translation Review'!E47,"[ก-๙]"),1,0),1)</x:f>
        <x:v>0</x:v>
      </x:c>
      <x:c r="C47" s="8" t="n">
        <x:f>IF(OR('Translation Review'!F47="direct",'Translation Review'!F47="plain_english"),0,1)</x:f>
        <x:v>0</x:v>
      </x:c>
      <x:c r="D47" s="8" t="n">
        <x:f>IFERROR(IF(AND(OR(LEN('Translation Review'!P47)=21,LEN('Translation Review'!P47)=26),MID('Translation Review'!P47,6,1)="-",MID('Translation Review'!P47,9,1)="-",MID('Translation Review'!P47,12,1)="T",MID('Translation Review'!P47,15,1)=":",MID('Translation Review'!P47,18,1)=":",VALUE(MID('Translation Review'!P47,7,2))&gt;=1,VALUE(MID('Translation Review'!P47,7,2))&lt;=12,VALUE(MID('Translation Review'!P47,10,2))&gt;=1,VALUE(MID('Translation Review'!P47,10,2))&lt;=CHOOSE(VALUE(MID('Translation Review'!P47,7,2)),31,IF(AND(MOD(VALUE(MID('Translation Review'!P47,2,4)),4)=0,OR(MOD(VALUE(MID('Translation Review'!P47,2,4)),100)&lt;&gt;0,MOD(VALUE(MID('Translation Review'!P47,2,4)),400)=0)),29,28),31,30,31,30,31,31,30,31,30,31),VALUE(MID('Translation Review'!P47,13,2))&gt;=0,VALUE(MID('Translation Review'!P47,13,2))&lt;=23,VALUE(MID('Translation Review'!P47,16,2))&gt;=0,VALUE(MID('Translation Review'!P47,16,2))&lt;=59,VALUE(MID('Translation Review'!P47,19,2))&gt;=0,VALUE(MID('Translation Review'!P47,19,2))&lt;=59,OR(AND(LEN('Translation Review'!P47)=21,RIGHT('Translation Review'!P47,1)="Z"),AND(LEN('Translation Review'!P47)=26,OR(MID('Translation Review'!P47,21,1)="+",MID('Translation Review'!P47,21,1)="-"),MID('Translation Review'!P47,24,1)=":",VALUE(MID('Translation Review'!P47,22,2))&gt;=0,VALUE(MID('Translation Review'!P47,22,2))&lt;=23,VALUE(MID('Translation Review'!P47,25,2))&gt;=0,VALUE(MID('Translation Review'!P47,25,2))&lt;=59))),0,1),1)</x:f>
        <x:v>0</x:v>
      </x:c>
      <x:c r="E47" s="8" t="n">
        <x:f>IF(AND(ISNUMBER('Translation Review'!Q47),'Translation Review'!Q47&gt;0,'Translation Review'!Q47=INT('Translation Review'!Q47)),0,1)</x:f>
        <x:v>0</x:v>
      </x:c>
    </x:row>
    <x:row r="48" ht="24" customHeight="1">
      <x:c r="A48" s="8" t="str">
        <x:v>act_body_trunk_high.02</x:v>
      </x:c>
      <x:c r="B48" s="8" t="n">
        <x:f>IFERROR(IF(REGEXTEST('Translation Review'!E48,"[ก-๙]"),1,0),1)</x:f>
        <x:v>0</x:v>
      </x:c>
      <x:c r="C48" s="8" t="n">
        <x:f>IF(OR('Translation Review'!F48="direct",'Translation Review'!F48="plain_english"),0,1)</x:f>
        <x:v>0</x:v>
      </x:c>
      <x:c r="D48" s="8" t="n">
        <x:f>IFERROR(IF(AND(OR(LEN('Translation Review'!P48)=21,LEN('Translation Review'!P48)=26),MID('Translation Review'!P48,6,1)="-",MID('Translation Review'!P48,9,1)="-",MID('Translation Review'!P48,12,1)="T",MID('Translation Review'!P48,15,1)=":",MID('Translation Review'!P48,18,1)=":",VALUE(MID('Translation Review'!P48,7,2))&gt;=1,VALUE(MID('Translation Review'!P48,7,2))&lt;=12,VALUE(MID('Translation Review'!P48,10,2))&gt;=1,VALUE(MID('Translation Review'!P48,10,2))&lt;=CHOOSE(VALUE(MID('Translation Review'!P48,7,2)),31,IF(AND(MOD(VALUE(MID('Translation Review'!P48,2,4)),4)=0,OR(MOD(VALUE(MID('Translation Review'!P48,2,4)),100)&lt;&gt;0,MOD(VALUE(MID('Translation Review'!P48,2,4)),400)=0)),29,28),31,30,31,30,31,31,30,31,30,31),VALUE(MID('Translation Review'!P48,13,2))&gt;=0,VALUE(MID('Translation Review'!P48,13,2))&lt;=23,VALUE(MID('Translation Review'!P48,16,2))&gt;=0,VALUE(MID('Translation Review'!P48,16,2))&lt;=59,VALUE(MID('Translation Review'!P48,19,2))&gt;=0,VALUE(MID('Translation Review'!P48,19,2))&lt;=59,OR(AND(LEN('Translation Review'!P48)=21,RIGHT('Translation Review'!P48,1)="Z"),AND(LEN('Translation Review'!P48)=26,OR(MID('Translation Review'!P48,21,1)="+",MID('Translation Review'!P48,21,1)="-"),MID('Translation Review'!P48,24,1)=":",VALUE(MID('Translation Review'!P48,22,2))&gt;=0,VALUE(MID('Translation Review'!P48,22,2))&lt;=23,VALUE(MID('Translation Review'!P48,25,2))&gt;=0,VALUE(MID('Translation Review'!P48,25,2))&lt;=59))),0,1),1)</x:f>
        <x:v>0</x:v>
      </x:c>
      <x:c r="E48" s="8" t="n">
        <x:f>IF(AND(ISNUMBER('Translation Review'!Q48),'Translation Review'!Q48&gt;0,'Translation Review'!Q48=INT('Translation Review'!Q48)),0,1)</x:f>
        <x:v>0</x:v>
      </x:c>
    </x:row>
    <x:row r="49" ht="24" customHeight="1">
      <x:c r="A49" s="8" t="str">
        <x:v>act_body_trunk_high.03</x:v>
      </x:c>
      <x:c r="B49" s="8" t="n">
        <x:f>IFERROR(IF(REGEXTEST('Translation Review'!E49,"[ก-๙]"),1,0),1)</x:f>
        <x:v>0</x:v>
      </x:c>
      <x:c r="C49" s="8" t="n">
        <x:f>IF(OR('Translation Review'!F49="direct",'Translation Review'!F49="plain_english"),0,1)</x:f>
        <x:v>0</x:v>
      </x:c>
      <x:c r="D49" s="8" t="n">
        <x:f>IFERROR(IF(AND(OR(LEN('Translation Review'!P49)=21,LEN('Translation Review'!P49)=26),MID('Translation Review'!P49,6,1)="-",MID('Translation Review'!P49,9,1)="-",MID('Translation Review'!P49,12,1)="T",MID('Translation Review'!P49,15,1)=":",MID('Translation Review'!P49,18,1)=":",VALUE(MID('Translation Review'!P49,7,2))&gt;=1,VALUE(MID('Translation Review'!P49,7,2))&lt;=12,VALUE(MID('Translation Review'!P49,10,2))&gt;=1,VALUE(MID('Translation Review'!P49,10,2))&lt;=CHOOSE(VALUE(MID('Translation Review'!P49,7,2)),31,IF(AND(MOD(VALUE(MID('Translation Review'!P49,2,4)),4)=0,OR(MOD(VALUE(MID('Translation Review'!P49,2,4)),100)&lt;&gt;0,MOD(VALUE(MID('Translation Review'!P49,2,4)),400)=0)),29,28),31,30,31,30,31,31,30,31,30,31),VALUE(MID('Translation Review'!P49,13,2))&gt;=0,VALUE(MID('Translation Review'!P49,13,2))&lt;=23,VALUE(MID('Translation Review'!P49,16,2))&gt;=0,VALUE(MID('Translation Review'!P49,16,2))&lt;=59,VALUE(MID('Translation Review'!P49,19,2))&gt;=0,VALUE(MID('Translation Review'!P49,19,2))&lt;=59,OR(AND(LEN('Translation Review'!P49)=21,RIGHT('Translation Review'!P49,1)="Z"),AND(LEN('Translation Review'!P49)=26,OR(MID('Translation Review'!P49,21,1)="+",MID('Translation Review'!P49,21,1)="-"),MID('Translation Review'!P49,24,1)=":",VALUE(MID('Translation Review'!P49,22,2))&gt;=0,VALUE(MID('Translation Review'!P49,22,2))&lt;=23,VALUE(MID('Translation Review'!P49,25,2))&gt;=0,VALUE(MID('Translation Review'!P49,25,2))&lt;=59))),0,1),1)</x:f>
        <x:v>0</x:v>
      </x:c>
      <x:c r="E49" s="8" t="n">
        <x:f>IF(AND(ISNUMBER('Translation Review'!Q49),'Translation Review'!Q49&gt;0,'Translation Review'!Q49=INT('Translation Review'!Q49)),0,1)</x:f>
        <x:v>0</x:v>
      </x:c>
    </x:row>
    <x:row r="50" ht="24" customHeight="1">
      <x:c r="A50" s="8" t="str">
        <x:v>act_body_trunk_medium.01</x:v>
      </x:c>
      <x:c r="B50" s="8" t="n">
        <x:f>IFERROR(IF(REGEXTEST('Translation Review'!E50,"[ก-๙]"),1,0),1)</x:f>
        <x:v>0</x:v>
      </x:c>
      <x:c r="C50" s="8" t="n">
        <x:f>IF(OR('Translation Review'!F50="direct",'Translation Review'!F50="plain_english"),0,1)</x:f>
        <x:v>0</x:v>
      </x:c>
      <x:c r="D50" s="8" t="n">
        <x:f>IFERROR(IF(AND(OR(LEN('Translation Review'!P50)=21,LEN('Translation Review'!P50)=26),MID('Translation Review'!P50,6,1)="-",MID('Translation Review'!P50,9,1)="-",MID('Translation Review'!P50,12,1)="T",MID('Translation Review'!P50,15,1)=":",MID('Translation Review'!P50,18,1)=":",VALUE(MID('Translation Review'!P50,7,2))&gt;=1,VALUE(MID('Translation Review'!P50,7,2))&lt;=12,VALUE(MID('Translation Review'!P50,10,2))&gt;=1,VALUE(MID('Translation Review'!P50,10,2))&lt;=CHOOSE(VALUE(MID('Translation Review'!P50,7,2)),31,IF(AND(MOD(VALUE(MID('Translation Review'!P50,2,4)),4)=0,OR(MOD(VALUE(MID('Translation Review'!P50,2,4)),100)&lt;&gt;0,MOD(VALUE(MID('Translation Review'!P50,2,4)),400)=0)),29,28),31,30,31,30,31,31,30,31,30,31),VALUE(MID('Translation Review'!P50,13,2))&gt;=0,VALUE(MID('Translation Review'!P50,13,2))&lt;=23,VALUE(MID('Translation Review'!P50,16,2))&gt;=0,VALUE(MID('Translation Review'!P50,16,2))&lt;=59,VALUE(MID('Translation Review'!P50,19,2))&gt;=0,VALUE(MID('Translation Review'!P50,19,2))&lt;=59,OR(AND(LEN('Translation Review'!P50)=21,RIGHT('Translation Review'!P50,1)="Z"),AND(LEN('Translation Review'!P50)=26,OR(MID('Translation Review'!P50,21,1)="+",MID('Translation Review'!P50,21,1)="-"),MID('Translation Review'!P50,24,1)=":",VALUE(MID('Translation Review'!P50,22,2))&gt;=0,VALUE(MID('Translation Review'!P50,22,2))&lt;=23,VALUE(MID('Translation Review'!P50,25,2))&gt;=0,VALUE(MID('Translation Review'!P50,25,2))&lt;=59))),0,1),1)</x:f>
        <x:v>0</x:v>
      </x:c>
      <x:c r="E50" s="8" t="n">
        <x:f>IF(AND(ISNUMBER('Translation Review'!Q50),'Translation Review'!Q50&gt;0,'Translation Review'!Q50=INT('Translation Review'!Q50)),0,1)</x:f>
        <x:v>0</x:v>
      </x:c>
    </x:row>
    <x:row r="51" ht="24" customHeight="1">
      <x:c r="A51" s="8" t="str">
        <x:v>act_body_trunk_medium.02</x:v>
      </x:c>
      <x:c r="B51" s="8" t="n">
        <x:f>IFERROR(IF(REGEXTEST('Translation Review'!E51,"[ก-๙]"),1,0),1)</x:f>
        <x:v>0</x:v>
      </x:c>
      <x:c r="C51" s="8" t="n">
        <x:f>IF(OR('Translation Review'!F51="direct",'Translation Review'!F51="plain_english"),0,1)</x:f>
        <x:v>0</x:v>
      </x:c>
      <x:c r="D51" s="8" t="n">
        <x:f>IFERROR(IF(AND(OR(LEN('Translation Review'!P51)=21,LEN('Translation Review'!P51)=26),MID('Translation Review'!P51,6,1)="-",MID('Translation Review'!P51,9,1)="-",MID('Translation Review'!P51,12,1)="T",MID('Translation Review'!P51,15,1)=":",MID('Translation Review'!P51,18,1)=":",VALUE(MID('Translation Review'!P51,7,2))&gt;=1,VALUE(MID('Translation Review'!P51,7,2))&lt;=12,VALUE(MID('Translation Review'!P51,10,2))&gt;=1,VALUE(MID('Translation Review'!P51,10,2))&lt;=CHOOSE(VALUE(MID('Translation Review'!P51,7,2)),31,IF(AND(MOD(VALUE(MID('Translation Review'!P51,2,4)),4)=0,OR(MOD(VALUE(MID('Translation Review'!P51,2,4)),100)&lt;&gt;0,MOD(VALUE(MID('Translation Review'!P51,2,4)),400)=0)),29,28),31,30,31,30,31,31,30,31,30,31),VALUE(MID('Translation Review'!P51,13,2))&gt;=0,VALUE(MID('Translation Review'!P51,13,2))&lt;=23,VALUE(MID('Translation Review'!P51,16,2))&gt;=0,VALUE(MID('Translation Review'!P51,16,2))&lt;=59,VALUE(MID('Translation Review'!P51,19,2))&gt;=0,VALUE(MID('Translation Review'!P51,19,2))&lt;=59,OR(AND(LEN('Translation Review'!P51)=21,RIGHT('Translation Review'!P51,1)="Z"),AND(LEN('Translation Review'!P51)=26,OR(MID('Translation Review'!P51,21,1)="+",MID('Translation Review'!P51,21,1)="-"),MID('Translation Review'!P51,24,1)=":",VALUE(MID('Translation Review'!P51,22,2))&gt;=0,VALUE(MID('Translation Review'!P51,22,2))&lt;=23,VALUE(MID('Translation Review'!P51,25,2))&gt;=0,VALUE(MID('Translation Review'!P51,25,2))&lt;=59))),0,1),1)</x:f>
        <x:v>0</x:v>
      </x:c>
      <x:c r="E51" s="8" t="n">
        <x:f>IF(AND(ISNUMBER('Translation Review'!Q51),'Translation Review'!Q51&gt;0,'Translation Review'!Q51=INT('Translation Review'!Q51)),0,1)</x:f>
        <x:v>0</x:v>
      </x:c>
    </x:row>
    <x:row r="52" ht="24" customHeight="1">
      <x:c r="A52" s="8" t="str">
        <x:v>act_body_trunk_medium.03</x:v>
      </x:c>
      <x:c r="B52" s="8" t="n">
        <x:f>IFERROR(IF(REGEXTEST('Translation Review'!E52,"[ก-๙]"),1,0),1)</x:f>
        <x:v>0</x:v>
      </x:c>
      <x:c r="C52" s="8" t="n">
        <x:f>IF(OR('Translation Review'!F52="direct",'Translation Review'!F52="plain_english"),0,1)</x:f>
        <x:v>0</x:v>
      </x:c>
      <x:c r="D52" s="8" t="n">
        <x:f>IFERROR(IF(AND(OR(LEN('Translation Review'!P52)=21,LEN('Translation Review'!P52)=26),MID('Translation Review'!P52,6,1)="-",MID('Translation Review'!P52,9,1)="-",MID('Translation Review'!P52,12,1)="T",MID('Translation Review'!P52,15,1)=":",MID('Translation Review'!P52,18,1)=":",VALUE(MID('Translation Review'!P52,7,2))&gt;=1,VALUE(MID('Translation Review'!P52,7,2))&lt;=12,VALUE(MID('Translation Review'!P52,10,2))&gt;=1,VALUE(MID('Translation Review'!P52,10,2))&lt;=CHOOSE(VALUE(MID('Translation Review'!P52,7,2)),31,IF(AND(MOD(VALUE(MID('Translation Review'!P52,2,4)),4)=0,OR(MOD(VALUE(MID('Translation Review'!P52,2,4)),100)&lt;&gt;0,MOD(VALUE(MID('Translation Review'!P52,2,4)),400)=0)),29,28),31,30,31,30,31,31,30,31,30,31),VALUE(MID('Translation Review'!P52,13,2))&gt;=0,VALUE(MID('Translation Review'!P52,13,2))&lt;=23,VALUE(MID('Translation Review'!P52,16,2))&gt;=0,VALUE(MID('Translation Review'!P52,16,2))&lt;=59,VALUE(MID('Translation Review'!P52,19,2))&gt;=0,VALUE(MID('Translation Review'!P52,19,2))&lt;=59,OR(AND(LEN('Translation Review'!P52)=21,RIGHT('Translation Review'!P52,1)="Z"),AND(LEN('Translation Review'!P52)=26,OR(MID('Translation Review'!P52,21,1)="+",MID('Translation Review'!P52,21,1)="-"),MID('Translation Review'!P52,24,1)=":",VALUE(MID('Translation Review'!P52,22,2))&gt;=0,VALUE(MID('Translation Review'!P52,22,2))&lt;=23,VALUE(MID('Translation Review'!P52,25,2))&gt;=0,VALUE(MID('Translation Review'!P52,25,2))&lt;=59))),0,1),1)</x:f>
        <x:v>0</x:v>
      </x:c>
      <x:c r="E52" s="8" t="n">
        <x:f>IF(AND(ISNUMBER('Translation Review'!Q52),'Translation Review'!Q52&gt;0,'Translation Review'!Q52=INT('Translation Review'!Q52)),0,1)</x:f>
        <x:v>0</x:v>
      </x:c>
    </x:row>
    <x:row r="53" ht="24" customHeight="1">
      <x:c r="A53" s="8" t="str">
        <x:v>act_body_trunk_very_high.01</x:v>
      </x:c>
      <x:c r="B53" s="8" t="n">
        <x:f>IFERROR(IF(REGEXTEST('Translation Review'!E53,"[ก-๙]"),1,0),1)</x:f>
        <x:v>0</x:v>
      </x:c>
      <x:c r="C53" s="8" t="n">
        <x:f>IF(OR('Translation Review'!F53="direct",'Translation Review'!F53="plain_english"),0,1)</x:f>
        <x:v>0</x:v>
      </x:c>
      <x:c r="D53" s="8" t="n">
        <x:f>IFERROR(IF(AND(OR(LEN('Translation Review'!P53)=21,LEN('Translation Review'!P53)=26),MID('Translation Review'!P53,6,1)="-",MID('Translation Review'!P53,9,1)="-",MID('Translation Review'!P53,12,1)="T",MID('Translation Review'!P53,15,1)=":",MID('Translation Review'!P53,18,1)=":",VALUE(MID('Translation Review'!P53,7,2))&gt;=1,VALUE(MID('Translation Review'!P53,7,2))&lt;=12,VALUE(MID('Translation Review'!P53,10,2))&gt;=1,VALUE(MID('Translation Review'!P53,10,2))&lt;=CHOOSE(VALUE(MID('Translation Review'!P53,7,2)),31,IF(AND(MOD(VALUE(MID('Translation Review'!P53,2,4)),4)=0,OR(MOD(VALUE(MID('Translation Review'!P53,2,4)),100)&lt;&gt;0,MOD(VALUE(MID('Translation Review'!P53,2,4)),400)=0)),29,28),31,30,31,30,31,31,30,31,30,31),VALUE(MID('Translation Review'!P53,13,2))&gt;=0,VALUE(MID('Translation Review'!P53,13,2))&lt;=23,VALUE(MID('Translation Review'!P53,16,2))&gt;=0,VALUE(MID('Translation Review'!P53,16,2))&lt;=59,VALUE(MID('Translation Review'!P53,19,2))&gt;=0,VALUE(MID('Translation Review'!P53,19,2))&lt;=59,OR(AND(LEN('Translation Review'!P53)=21,RIGHT('Translation Review'!P53,1)="Z"),AND(LEN('Translation Review'!P53)=26,OR(MID('Translation Review'!P53,21,1)="+",MID('Translation Review'!P53,21,1)="-"),MID('Translation Review'!P53,24,1)=":",VALUE(MID('Translation Review'!P53,22,2))&gt;=0,VALUE(MID('Translation Review'!P53,22,2))&lt;=23,VALUE(MID('Translation Review'!P53,25,2))&gt;=0,VALUE(MID('Translation Review'!P53,25,2))&lt;=59))),0,1),1)</x:f>
        <x:v>0</x:v>
      </x:c>
      <x:c r="E53" s="8" t="n">
        <x:f>IF(AND(ISNUMBER('Translation Review'!Q53),'Translation Review'!Q53&gt;0,'Translation Review'!Q53=INT('Translation Review'!Q53)),0,1)</x:f>
        <x:v>0</x:v>
      </x:c>
    </x:row>
    <x:row r="54" ht="24" customHeight="1">
      <x:c r="A54" s="8" t="str">
        <x:v>act_body_trunk_very_high.02</x:v>
      </x:c>
      <x:c r="B54" s="8" t="n">
        <x:f>IFERROR(IF(REGEXTEST('Translation Review'!E54,"[ก-๙]"),1,0),1)</x:f>
        <x:v>0</x:v>
      </x:c>
      <x:c r="C54" s="8" t="n">
        <x:f>IF(OR('Translation Review'!F54="direct",'Translation Review'!F54="plain_english"),0,1)</x:f>
        <x:v>0</x:v>
      </x:c>
      <x:c r="D54" s="8" t="n">
        <x:f>IFERROR(IF(AND(OR(LEN('Translation Review'!P54)=21,LEN('Translation Review'!P54)=26),MID('Translation Review'!P54,6,1)="-",MID('Translation Review'!P54,9,1)="-",MID('Translation Review'!P54,12,1)="T",MID('Translation Review'!P54,15,1)=":",MID('Translation Review'!P54,18,1)=":",VALUE(MID('Translation Review'!P54,7,2))&gt;=1,VALUE(MID('Translation Review'!P54,7,2))&lt;=12,VALUE(MID('Translation Review'!P54,10,2))&gt;=1,VALUE(MID('Translation Review'!P54,10,2))&lt;=CHOOSE(VALUE(MID('Translation Review'!P54,7,2)),31,IF(AND(MOD(VALUE(MID('Translation Review'!P54,2,4)),4)=0,OR(MOD(VALUE(MID('Translation Review'!P54,2,4)),100)&lt;&gt;0,MOD(VALUE(MID('Translation Review'!P54,2,4)),400)=0)),29,28),31,30,31,30,31,31,30,31,30,31),VALUE(MID('Translation Review'!P54,13,2))&gt;=0,VALUE(MID('Translation Review'!P54,13,2))&lt;=23,VALUE(MID('Translation Review'!P54,16,2))&gt;=0,VALUE(MID('Translation Review'!P54,16,2))&lt;=59,VALUE(MID('Translation Review'!P54,19,2))&gt;=0,VALUE(MID('Translation Review'!P54,19,2))&lt;=59,OR(AND(LEN('Translation Review'!P54)=21,RIGHT('Translation Review'!P54,1)="Z"),AND(LEN('Translation Review'!P54)=26,OR(MID('Translation Review'!P54,21,1)="+",MID('Translation Review'!P54,21,1)="-"),MID('Translation Review'!P54,24,1)=":",VALUE(MID('Translation Review'!P54,22,2))&gt;=0,VALUE(MID('Translation Review'!P54,22,2))&lt;=23,VALUE(MID('Translation Review'!P54,25,2))&gt;=0,VALUE(MID('Translation Review'!P54,25,2))&lt;=59))),0,1),1)</x:f>
        <x:v>0</x:v>
      </x:c>
      <x:c r="E54" s="8" t="n">
        <x:f>IF(AND(ISNUMBER('Translation Review'!Q54),'Translation Review'!Q54&gt;0,'Translation Review'!Q54=INT('Translation Review'!Q54)),0,1)</x:f>
        <x:v>0</x:v>
      </x:c>
    </x:row>
    <x:row r="55" ht="24" customHeight="1">
      <x:c r="A55" s="8" t="str">
        <x:v>act_body_trunk_very_high.03</x:v>
      </x:c>
      <x:c r="B55" s="8" t="n">
        <x:f>IFERROR(IF(REGEXTEST('Translation Review'!E55,"[ก-๙]"),1,0),1)</x:f>
        <x:v>0</x:v>
      </x:c>
      <x:c r="C55" s="8" t="n">
        <x:f>IF(OR('Translation Review'!F55="direct",'Translation Review'!F55="plain_english"),0,1)</x:f>
        <x:v>0</x:v>
      </x:c>
      <x:c r="D55" s="8" t="n">
        <x:f>IFERROR(IF(AND(OR(LEN('Translation Review'!P55)=21,LEN('Translation Review'!P55)=26),MID('Translation Review'!P55,6,1)="-",MID('Translation Review'!P55,9,1)="-",MID('Translation Review'!P55,12,1)="T",MID('Translation Review'!P55,15,1)=":",MID('Translation Review'!P55,18,1)=":",VALUE(MID('Translation Review'!P55,7,2))&gt;=1,VALUE(MID('Translation Review'!P55,7,2))&lt;=12,VALUE(MID('Translation Review'!P55,10,2))&gt;=1,VALUE(MID('Translation Review'!P55,10,2))&lt;=CHOOSE(VALUE(MID('Translation Review'!P55,7,2)),31,IF(AND(MOD(VALUE(MID('Translation Review'!P55,2,4)),4)=0,OR(MOD(VALUE(MID('Translation Review'!P55,2,4)),100)&lt;&gt;0,MOD(VALUE(MID('Translation Review'!P55,2,4)),400)=0)),29,28),31,30,31,30,31,31,30,31,30,31),VALUE(MID('Translation Review'!P55,13,2))&gt;=0,VALUE(MID('Translation Review'!P55,13,2))&lt;=23,VALUE(MID('Translation Review'!P55,16,2))&gt;=0,VALUE(MID('Translation Review'!P55,16,2))&lt;=59,VALUE(MID('Translation Review'!P55,19,2))&gt;=0,VALUE(MID('Translation Review'!P55,19,2))&lt;=59,OR(AND(LEN('Translation Review'!P55)=21,RIGHT('Translation Review'!P55,1)="Z"),AND(LEN('Translation Review'!P55)=26,OR(MID('Translation Review'!P55,21,1)="+",MID('Translation Review'!P55,21,1)="-"),MID('Translation Review'!P55,24,1)=":",VALUE(MID('Translation Review'!P55,22,2))&gt;=0,VALUE(MID('Translation Review'!P55,22,2))&lt;=23,VALUE(MID('Translation Review'!P55,25,2))&gt;=0,VALUE(MID('Translation Review'!P55,25,2))&lt;=59))),0,1),1)</x:f>
        <x:v>0</x:v>
      </x:c>
      <x:c r="E55" s="8" t="n">
        <x:f>IF(AND(ISNUMBER('Translation Review'!Q55),'Translation Review'!Q55&gt;0,'Translation Review'!Q55=INT('Translation Review'!Q55)),0,1)</x:f>
        <x:v>0</x:v>
      </x:c>
    </x:row>
    <x:row r="56" ht="24" customHeight="1">
      <x:c r="A56" s="8" t="str">
        <x:v>act_body_trunk_very_high.04</x:v>
      </x:c>
      <x:c r="B56" s="8" t="n">
        <x:f>IFERROR(IF(REGEXTEST('Translation Review'!E56,"[ก-๙]"),1,0),1)</x:f>
        <x:v>0</x:v>
      </x:c>
      <x:c r="C56" s="8" t="n">
        <x:f>IF(OR('Translation Review'!F56="direct",'Translation Review'!F56="plain_english"),0,1)</x:f>
        <x:v>0</x:v>
      </x:c>
      <x:c r="D56" s="8" t="n">
        <x:f>IFERROR(IF(AND(OR(LEN('Translation Review'!P56)=21,LEN('Translation Review'!P56)=26),MID('Translation Review'!P56,6,1)="-",MID('Translation Review'!P56,9,1)="-",MID('Translation Review'!P56,12,1)="T",MID('Translation Review'!P56,15,1)=":",MID('Translation Review'!P56,18,1)=":",VALUE(MID('Translation Review'!P56,7,2))&gt;=1,VALUE(MID('Translation Review'!P56,7,2))&lt;=12,VALUE(MID('Translation Review'!P56,10,2))&gt;=1,VALUE(MID('Translation Review'!P56,10,2))&lt;=CHOOSE(VALUE(MID('Translation Review'!P56,7,2)),31,IF(AND(MOD(VALUE(MID('Translation Review'!P56,2,4)),4)=0,OR(MOD(VALUE(MID('Translation Review'!P56,2,4)),100)&lt;&gt;0,MOD(VALUE(MID('Translation Review'!P56,2,4)),400)=0)),29,28),31,30,31,30,31,31,30,31,30,31),VALUE(MID('Translation Review'!P56,13,2))&gt;=0,VALUE(MID('Translation Review'!P56,13,2))&lt;=23,VALUE(MID('Translation Review'!P56,16,2))&gt;=0,VALUE(MID('Translation Review'!P56,16,2))&lt;=59,VALUE(MID('Translation Review'!P56,19,2))&gt;=0,VALUE(MID('Translation Review'!P56,19,2))&lt;=59,OR(AND(LEN('Translation Review'!P56)=21,RIGHT('Translation Review'!P56,1)="Z"),AND(LEN('Translation Review'!P56)=26,OR(MID('Translation Review'!P56,21,1)="+",MID('Translation Review'!P56,21,1)="-"),MID('Translation Review'!P56,24,1)=":",VALUE(MID('Translation Review'!P56,22,2))&gt;=0,VALUE(MID('Translation Review'!P56,22,2))&lt;=23,VALUE(MID('Translation Review'!P56,25,2))&gt;=0,VALUE(MID('Translation Review'!P56,25,2))&lt;=59))),0,1),1)</x:f>
        <x:v>0</x:v>
      </x:c>
      <x:c r="E56" s="8" t="n">
        <x:f>IF(AND(ISNUMBER('Translation Review'!Q56),'Translation Review'!Q56&gt;0,'Translation Review'!Q56=INT('Translation Review'!Q56)),0,1)</x:f>
        <x:v>0</x:v>
      </x:c>
    </x:row>
    <x:row r="57" ht="24" customHeight="1">
      <x:c r="A57" s="8" t="str">
        <x:v>act_body_wrists_high.01</x:v>
      </x:c>
      <x:c r="B57" s="8" t="n">
        <x:f>IFERROR(IF(REGEXTEST('Translation Review'!E57,"[ก-๙]"),1,0),1)</x:f>
        <x:v>0</x:v>
      </x:c>
      <x:c r="C57" s="8" t="n">
        <x:f>IF(OR('Translation Review'!F57="direct",'Translation Review'!F57="plain_english"),0,1)</x:f>
        <x:v>0</x:v>
      </x:c>
      <x:c r="D57" s="8" t="n">
        <x:f>IFERROR(IF(AND(OR(LEN('Translation Review'!P57)=21,LEN('Translation Review'!P57)=26),MID('Translation Review'!P57,6,1)="-",MID('Translation Review'!P57,9,1)="-",MID('Translation Review'!P57,12,1)="T",MID('Translation Review'!P57,15,1)=":",MID('Translation Review'!P57,18,1)=":",VALUE(MID('Translation Review'!P57,7,2))&gt;=1,VALUE(MID('Translation Review'!P57,7,2))&lt;=12,VALUE(MID('Translation Review'!P57,10,2))&gt;=1,VALUE(MID('Translation Review'!P57,10,2))&lt;=CHOOSE(VALUE(MID('Translation Review'!P57,7,2)),31,IF(AND(MOD(VALUE(MID('Translation Review'!P57,2,4)),4)=0,OR(MOD(VALUE(MID('Translation Review'!P57,2,4)),100)&lt;&gt;0,MOD(VALUE(MID('Translation Review'!P57,2,4)),400)=0)),29,28),31,30,31,30,31,31,30,31,30,31),VALUE(MID('Translation Review'!P57,13,2))&gt;=0,VALUE(MID('Translation Review'!P57,13,2))&lt;=23,VALUE(MID('Translation Review'!P57,16,2))&gt;=0,VALUE(MID('Translation Review'!P57,16,2))&lt;=59,VALUE(MID('Translation Review'!P57,19,2))&gt;=0,VALUE(MID('Translation Review'!P57,19,2))&lt;=59,OR(AND(LEN('Translation Review'!P57)=21,RIGHT('Translation Review'!P57,1)="Z"),AND(LEN('Translation Review'!P57)=26,OR(MID('Translation Review'!P57,21,1)="+",MID('Translation Review'!P57,21,1)="-"),MID('Translation Review'!P57,24,1)=":",VALUE(MID('Translation Review'!P57,22,2))&gt;=0,VALUE(MID('Translation Review'!P57,22,2))&lt;=23,VALUE(MID('Translation Review'!P57,25,2))&gt;=0,VALUE(MID('Translation Review'!P57,25,2))&lt;=59))),0,1),1)</x:f>
        <x:v>0</x:v>
      </x:c>
      <x:c r="E57" s="8" t="n">
        <x:f>IF(AND(ISNUMBER('Translation Review'!Q57),'Translation Review'!Q57&gt;0,'Translation Review'!Q57=INT('Translation Review'!Q57)),0,1)</x:f>
        <x:v>0</x:v>
      </x:c>
    </x:row>
    <x:row r="58" ht="24" customHeight="1">
      <x:c r="A58" s="8" t="str">
        <x:v>act_body_wrists_high.02</x:v>
      </x:c>
      <x:c r="B58" s="8" t="n">
        <x:f>IFERROR(IF(REGEXTEST('Translation Review'!E58,"[ก-๙]"),1,0),1)</x:f>
        <x:v>0</x:v>
      </x:c>
      <x:c r="C58" s="8" t="n">
        <x:f>IF(OR('Translation Review'!F58="direct",'Translation Review'!F58="plain_english"),0,1)</x:f>
        <x:v>0</x:v>
      </x:c>
      <x:c r="D58" s="8" t="n">
        <x:f>IFERROR(IF(AND(OR(LEN('Translation Review'!P58)=21,LEN('Translation Review'!P58)=26),MID('Translation Review'!P58,6,1)="-",MID('Translation Review'!P58,9,1)="-",MID('Translation Review'!P58,12,1)="T",MID('Translation Review'!P58,15,1)=":",MID('Translation Review'!P58,18,1)=":",VALUE(MID('Translation Review'!P58,7,2))&gt;=1,VALUE(MID('Translation Review'!P58,7,2))&lt;=12,VALUE(MID('Translation Review'!P58,10,2))&gt;=1,VALUE(MID('Translation Review'!P58,10,2))&lt;=CHOOSE(VALUE(MID('Translation Review'!P58,7,2)),31,IF(AND(MOD(VALUE(MID('Translation Review'!P58,2,4)),4)=0,OR(MOD(VALUE(MID('Translation Review'!P58,2,4)),100)&lt;&gt;0,MOD(VALUE(MID('Translation Review'!P58,2,4)),400)=0)),29,28),31,30,31,30,31,31,30,31,30,31),VALUE(MID('Translation Review'!P58,13,2))&gt;=0,VALUE(MID('Translation Review'!P58,13,2))&lt;=23,VALUE(MID('Translation Review'!P58,16,2))&gt;=0,VALUE(MID('Translation Review'!P58,16,2))&lt;=59,VALUE(MID('Translation Review'!P58,19,2))&gt;=0,VALUE(MID('Translation Review'!P58,19,2))&lt;=59,OR(AND(LEN('Translation Review'!P58)=21,RIGHT('Translation Review'!P58,1)="Z"),AND(LEN('Translation Review'!P58)=26,OR(MID('Translation Review'!P58,21,1)="+",MID('Translation Review'!P58,21,1)="-"),MID('Translation Review'!P58,24,1)=":",VALUE(MID('Translation Review'!P58,22,2))&gt;=0,VALUE(MID('Translation Review'!P58,22,2))&lt;=23,VALUE(MID('Translation Review'!P58,25,2))&gt;=0,VALUE(MID('Translation Review'!P58,25,2))&lt;=59))),0,1),1)</x:f>
        <x:v>0</x:v>
      </x:c>
      <x:c r="E58" s="8" t="n">
        <x:f>IF(AND(ISNUMBER('Translation Review'!Q58),'Translation Review'!Q58&gt;0,'Translation Review'!Q58=INT('Translation Review'!Q58)),0,1)</x:f>
        <x:v>0</x:v>
      </x:c>
    </x:row>
    <x:row r="59" ht="24" customHeight="1">
      <x:c r="A59" s="8" t="str">
        <x:v>act_body_wrists_high.03</x:v>
      </x:c>
      <x:c r="B59" s="8" t="n">
        <x:f>IFERROR(IF(REGEXTEST('Translation Review'!E59,"[ก-๙]"),1,0),1)</x:f>
        <x:v>0</x:v>
      </x:c>
      <x:c r="C59" s="8" t="n">
        <x:f>IF(OR('Translation Review'!F59="direct",'Translation Review'!F59="plain_english"),0,1)</x:f>
        <x:v>0</x:v>
      </x:c>
      <x:c r="D59" s="8" t="n">
        <x:f>IFERROR(IF(AND(OR(LEN('Translation Review'!P59)=21,LEN('Translation Review'!P59)=26),MID('Translation Review'!P59,6,1)="-",MID('Translation Review'!P59,9,1)="-",MID('Translation Review'!P59,12,1)="T",MID('Translation Review'!P59,15,1)=":",MID('Translation Review'!P59,18,1)=":",VALUE(MID('Translation Review'!P59,7,2))&gt;=1,VALUE(MID('Translation Review'!P59,7,2))&lt;=12,VALUE(MID('Translation Review'!P59,10,2))&gt;=1,VALUE(MID('Translation Review'!P59,10,2))&lt;=CHOOSE(VALUE(MID('Translation Review'!P59,7,2)),31,IF(AND(MOD(VALUE(MID('Translation Review'!P59,2,4)),4)=0,OR(MOD(VALUE(MID('Translation Review'!P59,2,4)),100)&lt;&gt;0,MOD(VALUE(MID('Translation Review'!P59,2,4)),400)=0)),29,28),31,30,31,30,31,31,30,31,30,31),VALUE(MID('Translation Review'!P59,13,2))&gt;=0,VALUE(MID('Translation Review'!P59,13,2))&lt;=23,VALUE(MID('Translation Review'!P59,16,2))&gt;=0,VALUE(MID('Translation Review'!P59,16,2))&lt;=59,VALUE(MID('Translation Review'!P59,19,2))&gt;=0,VALUE(MID('Translation Review'!P59,19,2))&lt;=59,OR(AND(LEN('Translation Review'!P59)=21,RIGHT('Translation Review'!P59,1)="Z"),AND(LEN('Translation Review'!P59)=26,OR(MID('Translation Review'!P59,21,1)="+",MID('Translation Review'!P59,21,1)="-"),MID('Translation Review'!P59,24,1)=":",VALUE(MID('Translation Review'!P59,22,2))&gt;=0,VALUE(MID('Translation Review'!P59,22,2))&lt;=23,VALUE(MID('Translation Review'!P59,25,2))&gt;=0,VALUE(MID('Translation Review'!P59,25,2))&lt;=59))),0,1),1)</x:f>
        <x:v>0</x:v>
      </x:c>
      <x:c r="E59" s="8" t="n">
        <x:f>IF(AND(ISNUMBER('Translation Review'!Q59),'Translation Review'!Q59&gt;0,'Translation Review'!Q59=INT('Translation Review'!Q59)),0,1)</x:f>
        <x:v>0</x:v>
      </x:c>
    </x:row>
    <x:row r="60" ht="24" customHeight="1">
      <x:c r="A60" s="8" t="str">
        <x:v>act_body_wrists_high.04</x:v>
      </x:c>
      <x:c r="B60" s="8" t="n">
        <x:f>IFERROR(IF(REGEXTEST('Translation Review'!E60,"[ก-๙]"),1,0),1)</x:f>
        <x:v>0</x:v>
      </x:c>
      <x:c r="C60" s="8" t="n">
        <x:f>IF(OR('Translation Review'!F60="direct",'Translation Review'!F60="plain_english"),0,1)</x:f>
        <x:v>0</x:v>
      </x:c>
      <x:c r="D60" s="8" t="n">
        <x:f>IFERROR(IF(AND(OR(LEN('Translation Review'!P60)=21,LEN('Translation Review'!P60)=26),MID('Translation Review'!P60,6,1)="-",MID('Translation Review'!P60,9,1)="-",MID('Translation Review'!P60,12,1)="T",MID('Translation Review'!P60,15,1)=":",MID('Translation Review'!P60,18,1)=":",VALUE(MID('Translation Review'!P60,7,2))&gt;=1,VALUE(MID('Translation Review'!P60,7,2))&lt;=12,VALUE(MID('Translation Review'!P60,10,2))&gt;=1,VALUE(MID('Translation Review'!P60,10,2))&lt;=CHOOSE(VALUE(MID('Translation Review'!P60,7,2)),31,IF(AND(MOD(VALUE(MID('Translation Review'!P60,2,4)),4)=0,OR(MOD(VALUE(MID('Translation Review'!P60,2,4)),100)&lt;&gt;0,MOD(VALUE(MID('Translation Review'!P60,2,4)),400)=0)),29,28),31,30,31,30,31,31,30,31,30,31),VALUE(MID('Translation Review'!P60,13,2))&gt;=0,VALUE(MID('Translation Review'!P60,13,2))&lt;=23,VALUE(MID('Translation Review'!P60,16,2))&gt;=0,VALUE(MID('Translation Review'!P60,16,2))&lt;=59,VALUE(MID('Translation Review'!P60,19,2))&gt;=0,VALUE(MID('Translation Review'!P60,19,2))&lt;=59,OR(AND(LEN('Translation Review'!P60)=21,RIGHT('Translation Review'!P60,1)="Z"),AND(LEN('Translation Review'!P60)=26,OR(MID('Translation Review'!P60,21,1)="+",MID('Translation Review'!P60,21,1)="-"),MID('Translation Review'!P60,24,1)=":",VALUE(MID('Translation Review'!P60,22,2))&gt;=0,VALUE(MID('Translation Review'!P60,22,2))&lt;=23,VALUE(MID('Translation Review'!P60,25,2))&gt;=0,VALUE(MID('Translation Review'!P60,25,2))&lt;=59))),0,1),1)</x:f>
        <x:v>0</x:v>
      </x:c>
      <x:c r="E60" s="8" t="n">
        <x:f>IF(AND(ISNUMBER('Translation Review'!Q60),'Translation Review'!Q60&gt;0,'Translation Review'!Q60=INT('Translation Review'!Q60)),0,1)</x:f>
        <x:v>0</x:v>
      </x:c>
    </x:row>
    <x:row r="61" ht="24" customHeight="1">
      <x:c r="A61" s="8" t="str">
        <x:v>act_body_wrists_medium.01</x:v>
      </x:c>
      <x:c r="B61" s="8" t="n">
        <x:f>IFERROR(IF(REGEXTEST('Translation Review'!E61,"[ก-๙]"),1,0),1)</x:f>
        <x:v>0</x:v>
      </x:c>
      <x:c r="C61" s="8" t="n">
        <x:f>IF(OR('Translation Review'!F61="direct",'Translation Review'!F61="plain_english"),0,1)</x:f>
        <x:v>0</x:v>
      </x:c>
      <x:c r="D61" s="8" t="n">
        <x:f>IFERROR(IF(AND(OR(LEN('Translation Review'!P61)=21,LEN('Translation Review'!P61)=26),MID('Translation Review'!P61,6,1)="-",MID('Translation Review'!P61,9,1)="-",MID('Translation Review'!P61,12,1)="T",MID('Translation Review'!P61,15,1)=":",MID('Translation Review'!P61,18,1)=":",VALUE(MID('Translation Review'!P61,7,2))&gt;=1,VALUE(MID('Translation Review'!P61,7,2))&lt;=12,VALUE(MID('Translation Review'!P61,10,2))&gt;=1,VALUE(MID('Translation Review'!P61,10,2))&lt;=CHOOSE(VALUE(MID('Translation Review'!P61,7,2)),31,IF(AND(MOD(VALUE(MID('Translation Review'!P61,2,4)),4)=0,OR(MOD(VALUE(MID('Translation Review'!P61,2,4)),100)&lt;&gt;0,MOD(VALUE(MID('Translation Review'!P61,2,4)),400)=0)),29,28),31,30,31,30,31,31,30,31,30,31),VALUE(MID('Translation Review'!P61,13,2))&gt;=0,VALUE(MID('Translation Review'!P61,13,2))&lt;=23,VALUE(MID('Translation Review'!P61,16,2))&gt;=0,VALUE(MID('Translation Review'!P61,16,2))&lt;=59,VALUE(MID('Translation Review'!P61,19,2))&gt;=0,VALUE(MID('Translation Review'!P61,19,2))&lt;=59,OR(AND(LEN('Translation Review'!P61)=21,RIGHT('Translation Review'!P61,1)="Z"),AND(LEN('Translation Review'!P61)=26,OR(MID('Translation Review'!P61,21,1)="+",MID('Translation Review'!P61,21,1)="-"),MID('Translation Review'!P61,24,1)=":",VALUE(MID('Translation Review'!P61,22,2))&gt;=0,VALUE(MID('Translation Review'!P61,22,2))&lt;=23,VALUE(MID('Translation Review'!P61,25,2))&gt;=0,VALUE(MID('Translation Review'!P61,25,2))&lt;=59))),0,1),1)</x:f>
        <x:v>0</x:v>
      </x:c>
      <x:c r="E61" s="8" t="n">
        <x:f>IF(AND(ISNUMBER('Translation Review'!Q61),'Translation Review'!Q61&gt;0,'Translation Review'!Q61=INT('Translation Review'!Q61)),0,1)</x:f>
        <x:v>0</x:v>
      </x:c>
    </x:row>
    <x:row r="62" ht="24" customHeight="1">
      <x:c r="A62" s="8" t="str">
        <x:v>act_body_wrists_medium.02</x:v>
      </x:c>
      <x:c r="B62" s="8" t="n">
        <x:f>IFERROR(IF(REGEXTEST('Translation Review'!E62,"[ก-๙]"),1,0),1)</x:f>
        <x:v>0</x:v>
      </x:c>
      <x:c r="C62" s="8" t="n">
        <x:f>IF(OR('Translation Review'!F62="direct",'Translation Review'!F62="plain_english"),0,1)</x:f>
        <x:v>0</x:v>
      </x:c>
      <x:c r="D62" s="8" t="n">
        <x:f>IFERROR(IF(AND(OR(LEN('Translation Review'!P62)=21,LEN('Translation Review'!P62)=26),MID('Translation Review'!P62,6,1)="-",MID('Translation Review'!P62,9,1)="-",MID('Translation Review'!P62,12,1)="T",MID('Translation Review'!P62,15,1)=":",MID('Translation Review'!P62,18,1)=":",VALUE(MID('Translation Review'!P62,7,2))&gt;=1,VALUE(MID('Translation Review'!P62,7,2))&lt;=12,VALUE(MID('Translation Review'!P62,10,2))&gt;=1,VALUE(MID('Translation Review'!P62,10,2))&lt;=CHOOSE(VALUE(MID('Translation Review'!P62,7,2)),31,IF(AND(MOD(VALUE(MID('Translation Review'!P62,2,4)),4)=0,OR(MOD(VALUE(MID('Translation Review'!P62,2,4)),100)&lt;&gt;0,MOD(VALUE(MID('Translation Review'!P62,2,4)),400)=0)),29,28),31,30,31,30,31,31,30,31,30,31),VALUE(MID('Translation Review'!P62,13,2))&gt;=0,VALUE(MID('Translation Review'!P62,13,2))&lt;=23,VALUE(MID('Translation Review'!P62,16,2))&gt;=0,VALUE(MID('Translation Review'!P62,16,2))&lt;=59,VALUE(MID('Translation Review'!P62,19,2))&gt;=0,VALUE(MID('Translation Review'!P62,19,2))&lt;=59,OR(AND(LEN('Translation Review'!P62)=21,RIGHT('Translation Review'!P62,1)="Z"),AND(LEN('Translation Review'!P62)=26,OR(MID('Translation Review'!P62,21,1)="+",MID('Translation Review'!P62,21,1)="-"),MID('Translation Review'!P62,24,1)=":",VALUE(MID('Translation Review'!P62,22,2))&gt;=0,VALUE(MID('Translation Review'!P62,22,2))&lt;=23,VALUE(MID('Translation Review'!P62,25,2))&gt;=0,VALUE(MID('Translation Review'!P62,25,2))&lt;=59))),0,1),1)</x:f>
        <x:v>0</x:v>
      </x:c>
      <x:c r="E62" s="8" t="n">
        <x:f>IF(AND(ISNUMBER('Translation Review'!Q62),'Translation Review'!Q62&gt;0,'Translation Review'!Q62=INT('Translation Review'!Q62)),0,1)</x:f>
        <x:v>0</x:v>
      </x:c>
    </x:row>
    <x:row r="63" ht="24" customHeight="1">
      <x:c r="A63" s="8" t="str">
        <x:v>act_body_wrists_medium.03</x:v>
      </x:c>
      <x:c r="B63" s="8" t="n">
        <x:f>IFERROR(IF(REGEXTEST('Translation Review'!E63,"[ก-๙]"),1,0),1)</x:f>
        <x:v>0</x:v>
      </x:c>
      <x:c r="C63" s="8" t="n">
        <x:f>IF(OR('Translation Review'!F63="direct",'Translation Review'!F63="plain_english"),0,1)</x:f>
        <x:v>0</x:v>
      </x:c>
      <x:c r="D63" s="8" t="n">
        <x:f>IFERROR(IF(AND(OR(LEN('Translation Review'!P63)=21,LEN('Translation Review'!P63)=26),MID('Translation Review'!P63,6,1)="-",MID('Translation Review'!P63,9,1)="-",MID('Translation Review'!P63,12,1)="T",MID('Translation Review'!P63,15,1)=":",MID('Translation Review'!P63,18,1)=":",VALUE(MID('Translation Review'!P63,7,2))&gt;=1,VALUE(MID('Translation Review'!P63,7,2))&lt;=12,VALUE(MID('Translation Review'!P63,10,2))&gt;=1,VALUE(MID('Translation Review'!P63,10,2))&lt;=CHOOSE(VALUE(MID('Translation Review'!P63,7,2)),31,IF(AND(MOD(VALUE(MID('Translation Review'!P63,2,4)),4)=0,OR(MOD(VALUE(MID('Translation Review'!P63,2,4)),100)&lt;&gt;0,MOD(VALUE(MID('Translation Review'!P63,2,4)),400)=0)),29,28),31,30,31,30,31,31,30,31,30,31),VALUE(MID('Translation Review'!P63,13,2))&gt;=0,VALUE(MID('Translation Review'!P63,13,2))&lt;=23,VALUE(MID('Translation Review'!P63,16,2))&gt;=0,VALUE(MID('Translation Review'!P63,16,2))&lt;=59,VALUE(MID('Translation Review'!P63,19,2))&gt;=0,VALUE(MID('Translation Review'!P63,19,2))&lt;=59,OR(AND(LEN('Translation Review'!P63)=21,RIGHT('Translation Review'!P63,1)="Z"),AND(LEN('Translation Review'!P63)=26,OR(MID('Translation Review'!P63,21,1)="+",MID('Translation Review'!P63,21,1)="-"),MID('Translation Review'!P63,24,1)=":",VALUE(MID('Translation Review'!P63,22,2))&gt;=0,VALUE(MID('Translation Review'!P63,22,2))&lt;=23,VALUE(MID('Translation Review'!P63,25,2))&gt;=0,VALUE(MID('Translation Review'!P63,25,2))&lt;=59))),0,1),1)</x:f>
        <x:v>0</x:v>
      </x:c>
      <x:c r="E63" s="8" t="n">
        <x:f>IF(AND(ISNUMBER('Translation Review'!Q63),'Translation Review'!Q63&gt;0,'Translation Review'!Q63=INT('Translation Review'!Q63)),0,1)</x:f>
        <x:v>0</x:v>
      </x:c>
    </x:row>
    <x:row r="64" ht="24" customHeight="1">
      <x:c r="A64" s="8" t="str">
        <x:v>act_body_wrists_very_high.01</x:v>
      </x:c>
      <x:c r="B64" s="8" t="n">
        <x:f>IFERROR(IF(REGEXTEST('Translation Review'!E64,"[ก-๙]"),1,0),1)</x:f>
        <x:v>0</x:v>
      </x:c>
      <x:c r="C64" s="8" t="n">
        <x:f>IF(OR('Translation Review'!F64="direct",'Translation Review'!F64="plain_english"),0,1)</x:f>
        <x:v>0</x:v>
      </x:c>
      <x:c r="D64" s="8" t="n">
        <x:f>IFERROR(IF(AND(OR(LEN('Translation Review'!P64)=21,LEN('Translation Review'!P64)=26),MID('Translation Review'!P64,6,1)="-",MID('Translation Review'!P64,9,1)="-",MID('Translation Review'!P64,12,1)="T",MID('Translation Review'!P64,15,1)=":",MID('Translation Review'!P64,18,1)=":",VALUE(MID('Translation Review'!P64,7,2))&gt;=1,VALUE(MID('Translation Review'!P64,7,2))&lt;=12,VALUE(MID('Translation Review'!P64,10,2))&gt;=1,VALUE(MID('Translation Review'!P64,10,2))&lt;=CHOOSE(VALUE(MID('Translation Review'!P64,7,2)),31,IF(AND(MOD(VALUE(MID('Translation Review'!P64,2,4)),4)=0,OR(MOD(VALUE(MID('Translation Review'!P64,2,4)),100)&lt;&gt;0,MOD(VALUE(MID('Translation Review'!P64,2,4)),400)=0)),29,28),31,30,31,30,31,31,30,31,30,31),VALUE(MID('Translation Review'!P64,13,2))&gt;=0,VALUE(MID('Translation Review'!P64,13,2))&lt;=23,VALUE(MID('Translation Review'!P64,16,2))&gt;=0,VALUE(MID('Translation Review'!P64,16,2))&lt;=59,VALUE(MID('Translation Review'!P64,19,2))&gt;=0,VALUE(MID('Translation Review'!P64,19,2))&lt;=59,OR(AND(LEN('Translation Review'!P64)=21,RIGHT('Translation Review'!P64,1)="Z"),AND(LEN('Translation Review'!P64)=26,OR(MID('Translation Review'!P64,21,1)="+",MID('Translation Review'!P64,21,1)="-"),MID('Translation Review'!P64,24,1)=":",VALUE(MID('Translation Review'!P64,22,2))&gt;=0,VALUE(MID('Translation Review'!P64,22,2))&lt;=23,VALUE(MID('Translation Review'!P64,25,2))&gt;=0,VALUE(MID('Translation Review'!P64,25,2))&lt;=59))),0,1),1)</x:f>
        <x:v>0</x:v>
      </x:c>
      <x:c r="E64" s="8" t="n">
        <x:f>IF(AND(ISNUMBER('Translation Review'!Q64),'Translation Review'!Q64&gt;0,'Translation Review'!Q64=INT('Translation Review'!Q64)),0,1)</x:f>
        <x:v>0</x:v>
      </x:c>
    </x:row>
    <x:row r="65" ht="24" customHeight="1">
      <x:c r="A65" s="8" t="str">
        <x:v>act_body_wrists_very_high.02</x:v>
      </x:c>
      <x:c r="B65" s="8" t="n">
        <x:f>IFERROR(IF(REGEXTEST('Translation Review'!E65,"[ก-๙]"),1,0),1)</x:f>
        <x:v>0</x:v>
      </x:c>
      <x:c r="C65" s="8" t="n">
        <x:f>IF(OR('Translation Review'!F65="direct",'Translation Review'!F65="plain_english"),0,1)</x:f>
        <x:v>0</x:v>
      </x:c>
      <x:c r="D65" s="8" t="n">
        <x:f>IFERROR(IF(AND(OR(LEN('Translation Review'!P65)=21,LEN('Translation Review'!P65)=26),MID('Translation Review'!P65,6,1)="-",MID('Translation Review'!P65,9,1)="-",MID('Translation Review'!P65,12,1)="T",MID('Translation Review'!P65,15,1)=":",MID('Translation Review'!P65,18,1)=":",VALUE(MID('Translation Review'!P65,7,2))&gt;=1,VALUE(MID('Translation Review'!P65,7,2))&lt;=12,VALUE(MID('Translation Review'!P65,10,2))&gt;=1,VALUE(MID('Translation Review'!P65,10,2))&lt;=CHOOSE(VALUE(MID('Translation Review'!P65,7,2)),31,IF(AND(MOD(VALUE(MID('Translation Review'!P65,2,4)),4)=0,OR(MOD(VALUE(MID('Translation Review'!P65,2,4)),100)&lt;&gt;0,MOD(VALUE(MID('Translation Review'!P65,2,4)),400)=0)),29,28),31,30,31,30,31,31,30,31,30,31),VALUE(MID('Translation Review'!P65,13,2))&gt;=0,VALUE(MID('Translation Review'!P65,13,2))&lt;=23,VALUE(MID('Translation Review'!P65,16,2))&gt;=0,VALUE(MID('Translation Review'!P65,16,2))&lt;=59,VALUE(MID('Translation Review'!P65,19,2))&gt;=0,VALUE(MID('Translation Review'!P65,19,2))&lt;=59,OR(AND(LEN('Translation Review'!P65)=21,RIGHT('Translation Review'!P65,1)="Z"),AND(LEN('Translation Review'!P65)=26,OR(MID('Translation Review'!P65,21,1)="+",MID('Translation Review'!P65,21,1)="-"),MID('Translation Review'!P65,24,1)=":",VALUE(MID('Translation Review'!P65,22,2))&gt;=0,VALUE(MID('Translation Review'!P65,22,2))&lt;=23,VALUE(MID('Translation Review'!P65,25,2))&gt;=0,VALUE(MID('Translation Review'!P65,25,2))&lt;=59))),0,1),1)</x:f>
        <x:v>0</x:v>
      </x:c>
      <x:c r="E65" s="8" t="n">
        <x:f>IF(AND(ISNUMBER('Translation Review'!Q65),'Translation Review'!Q65&gt;0,'Translation Review'!Q65=INT('Translation Review'!Q65)),0,1)</x:f>
        <x:v>0</x:v>
      </x:c>
    </x:row>
    <x:row r="66" ht="24" customHeight="1">
      <x:c r="A66" s="8" t="str">
        <x:v>act_body_wrists_very_high.03</x:v>
      </x:c>
      <x:c r="B66" s="8" t="n">
        <x:f>IFERROR(IF(REGEXTEST('Translation Review'!E66,"[ก-๙]"),1,0),1)</x:f>
        <x:v>0</x:v>
      </x:c>
      <x:c r="C66" s="8" t="n">
        <x:f>IF(OR('Translation Review'!F66="direct",'Translation Review'!F66="plain_english"),0,1)</x:f>
        <x:v>0</x:v>
      </x:c>
      <x:c r="D66" s="8" t="n">
        <x:f>IFERROR(IF(AND(OR(LEN('Translation Review'!P66)=21,LEN('Translation Review'!P66)=26),MID('Translation Review'!P66,6,1)="-",MID('Translation Review'!P66,9,1)="-",MID('Translation Review'!P66,12,1)="T",MID('Translation Review'!P66,15,1)=":",MID('Translation Review'!P66,18,1)=":",VALUE(MID('Translation Review'!P66,7,2))&gt;=1,VALUE(MID('Translation Review'!P66,7,2))&lt;=12,VALUE(MID('Translation Review'!P66,10,2))&gt;=1,VALUE(MID('Translation Review'!P66,10,2))&lt;=CHOOSE(VALUE(MID('Translation Review'!P66,7,2)),31,IF(AND(MOD(VALUE(MID('Translation Review'!P66,2,4)),4)=0,OR(MOD(VALUE(MID('Translation Review'!P66,2,4)),100)&lt;&gt;0,MOD(VALUE(MID('Translation Review'!P66,2,4)),400)=0)),29,28),31,30,31,30,31,31,30,31,30,31),VALUE(MID('Translation Review'!P66,13,2))&gt;=0,VALUE(MID('Translation Review'!P66,13,2))&lt;=23,VALUE(MID('Translation Review'!P66,16,2))&gt;=0,VALUE(MID('Translation Review'!P66,16,2))&lt;=59,VALUE(MID('Translation Review'!P66,19,2))&gt;=0,VALUE(MID('Translation Review'!P66,19,2))&lt;=59,OR(AND(LEN('Translation Review'!P66)=21,RIGHT('Translation Review'!P66,1)="Z"),AND(LEN('Translation Review'!P66)=26,OR(MID('Translation Review'!P66,21,1)="+",MID('Translation Review'!P66,21,1)="-"),MID('Translation Review'!P66,24,1)=":",VALUE(MID('Translation Review'!P66,22,2))&gt;=0,VALUE(MID('Translation Review'!P66,22,2))&lt;=23,VALUE(MID('Translation Review'!P66,25,2))&gt;=0,VALUE(MID('Translation Review'!P66,25,2))&lt;=59))),0,1),1)</x:f>
        <x:v>0</x:v>
      </x:c>
      <x:c r="E66" s="8" t="n">
        <x:f>IF(AND(ISNUMBER('Translation Review'!Q66),'Translation Review'!Q66&gt;0,'Translation Review'!Q66=INT('Translation Review'!Q66)),0,1)</x:f>
        <x:v>0</x:v>
      </x:c>
    </x:row>
    <x:row r="67" ht="24" customHeight="1">
      <x:c r="A67" s="8" t="str">
        <x:v>act_check_wheels.01</x:v>
      </x:c>
      <x:c r="B67" s="8" t="n">
        <x:f>IFERROR(IF(REGEXTEST('Translation Review'!E67,"[ก-๙]"),1,0),1)</x:f>
        <x:v>0</x:v>
      </x:c>
      <x:c r="C67" s="8" t="n">
        <x:f>IF(OR('Translation Review'!F67="direct",'Translation Review'!F67="plain_english"),0,1)</x:f>
        <x:v>0</x:v>
      </x:c>
      <x:c r="D67" s="8" t="n">
        <x:f>IFERROR(IF(AND(OR(LEN('Translation Review'!P67)=21,LEN('Translation Review'!P67)=26),MID('Translation Review'!P67,6,1)="-",MID('Translation Review'!P67,9,1)="-",MID('Translation Review'!P67,12,1)="T",MID('Translation Review'!P67,15,1)=":",MID('Translation Review'!P67,18,1)=":",VALUE(MID('Translation Review'!P67,7,2))&gt;=1,VALUE(MID('Translation Review'!P67,7,2))&lt;=12,VALUE(MID('Translation Review'!P67,10,2))&gt;=1,VALUE(MID('Translation Review'!P67,10,2))&lt;=CHOOSE(VALUE(MID('Translation Review'!P67,7,2)),31,IF(AND(MOD(VALUE(MID('Translation Review'!P67,2,4)),4)=0,OR(MOD(VALUE(MID('Translation Review'!P67,2,4)),100)&lt;&gt;0,MOD(VALUE(MID('Translation Review'!P67,2,4)),400)=0)),29,28),31,30,31,30,31,31,30,31,30,31),VALUE(MID('Translation Review'!P67,13,2))&gt;=0,VALUE(MID('Translation Review'!P67,13,2))&lt;=23,VALUE(MID('Translation Review'!P67,16,2))&gt;=0,VALUE(MID('Translation Review'!P67,16,2))&lt;=59,VALUE(MID('Translation Review'!P67,19,2))&gt;=0,VALUE(MID('Translation Review'!P67,19,2))&lt;=59,OR(AND(LEN('Translation Review'!P67)=21,RIGHT('Translation Review'!P67,1)="Z"),AND(LEN('Translation Review'!P67)=26,OR(MID('Translation Review'!P67,21,1)="+",MID('Translation Review'!P67,21,1)="-"),MID('Translation Review'!P67,24,1)=":",VALUE(MID('Translation Review'!P67,22,2))&gt;=0,VALUE(MID('Translation Review'!P67,22,2))&lt;=23,VALUE(MID('Translation Review'!P67,25,2))&gt;=0,VALUE(MID('Translation Review'!P67,25,2))&lt;=59))),0,1),1)</x:f>
        <x:v>0</x:v>
      </x:c>
      <x:c r="E67" s="8" t="n">
        <x:f>IF(AND(ISNUMBER('Translation Review'!Q67),'Translation Review'!Q67&gt;0,'Translation Review'!Q67=INT('Translation Review'!Q67)),0,1)</x:f>
        <x:v>0</x:v>
      </x:c>
    </x:row>
    <x:row r="68" ht="24" customHeight="1">
      <x:c r="A68" s="8" t="str">
        <x:v>act_extra_fert_cart.01</x:v>
      </x:c>
      <x:c r="B68" s="8" t="n">
        <x:f>IFERROR(IF(REGEXTEST('Translation Review'!E68,"[ก-๙]"),1,0),1)</x:f>
        <x:v>0</x:v>
      </x:c>
      <x:c r="C68" s="8" t="n">
        <x:f>IF(OR('Translation Review'!F68="direct",'Translation Review'!F68="plain_english"),0,1)</x:f>
        <x:v>0</x:v>
      </x:c>
      <x:c r="D68" s="8" t="n">
        <x:f>IFERROR(IF(AND(OR(LEN('Translation Review'!P68)=21,LEN('Translation Review'!P68)=26),MID('Translation Review'!P68,6,1)="-",MID('Translation Review'!P68,9,1)="-",MID('Translation Review'!P68,12,1)="T",MID('Translation Review'!P68,15,1)=":",MID('Translation Review'!P68,18,1)=":",VALUE(MID('Translation Review'!P68,7,2))&gt;=1,VALUE(MID('Translation Review'!P68,7,2))&lt;=12,VALUE(MID('Translation Review'!P68,10,2))&gt;=1,VALUE(MID('Translation Review'!P68,10,2))&lt;=CHOOSE(VALUE(MID('Translation Review'!P68,7,2)),31,IF(AND(MOD(VALUE(MID('Translation Review'!P68,2,4)),4)=0,OR(MOD(VALUE(MID('Translation Review'!P68,2,4)),100)&lt;&gt;0,MOD(VALUE(MID('Translation Review'!P68,2,4)),400)=0)),29,28),31,30,31,30,31,31,30,31,30,31),VALUE(MID('Translation Review'!P68,13,2))&gt;=0,VALUE(MID('Translation Review'!P68,13,2))&lt;=23,VALUE(MID('Translation Review'!P68,16,2))&gt;=0,VALUE(MID('Translation Review'!P68,16,2))&lt;=59,VALUE(MID('Translation Review'!P68,19,2))&gt;=0,VALUE(MID('Translation Review'!P68,19,2))&lt;=59,OR(AND(LEN('Translation Review'!P68)=21,RIGHT('Translation Review'!P68,1)="Z"),AND(LEN('Translation Review'!P68)=26,OR(MID('Translation Review'!P68,21,1)="+",MID('Translation Review'!P68,21,1)="-"),MID('Translation Review'!P68,24,1)=":",VALUE(MID('Translation Review'!P68,22,2))&gt;=0,VALUE(MID('Translation Review'!P68,22,2))&lt;=23,VALUE(MID('Translation Review'!P68,25,2))&gt;=0,VALUE(MID('Translation Review'!P68,25,2))&lt;=59))),0,1),1)</x:f>
        <x:v>0</x:v>
      </x:c>
      <x:c r="E68" s="8" t="n">
        <x:f>IF(AND(ISNUMBER('Translation Review'!Q68),'Translation Review'!Q68&gt;0,'Translation Review'!Q68=INT('Translation Review'!Q68)),0,1)</x:f>
        <x:v>0</x:v>
      </x:c>
    </x:row>
    <x:row r="69" ht="24" customHeight="1">
      <x:c r="A69" s="8" t="str">
        <x:v>act_extra_prune_ladder.01</x:v>
      </x:c>
      <x:c r="B69" s="8" t="n">
        <x:f>IFERROR(IF(REGEXTEST('Translation Review'!E69,"[ก-๙]"),1,0),1)</x:f>
        <x:v>0</x:v>
      </x:c>
      <x:c r="C69" s="8" t="n">
        <x:f>IF(OR('Translation Review'!F69="direct",'Translation Review'!F69="plain_english"),0,1)</x:f>
        <x:v>0</x:v>
      </x:c>
      <x:c r="D69" s="8" t="n">
        <x:f>IFERROR(IF(AND(OR(LEN('Translation Review'!P69)=21,LEN('Translation Review'!P69)=26),MID('Translation Review'!P69,6,1)="-",MID('Translation Review'!P69,9,1)="-",MID('Translation Review'!P69,12,1)="T",MID('Translation Review'!P69,15,1)=":",MID('Translation Review'!P69,18,1)=":",VALUE(MID('Translation Review'!P69,7,2))&gt;=1,VALUE(MID('Translation Review'!P69,7,2))&lt;=12,VALUE(MID('Translation Review'!P69,10,2))&gt;=1,VALUE(MID('Translation Review'!P69,10,2))&lt;=CHOOSE(VALUE(MID('Translation Review'!P69,7,2)),31,IF(AND(MOD(VALUE(MID('Translation Review'!P69,2,4)),4)=0,OR(MOD(VALUE(MID('Translation Review'!P69,2,4)),100)&lt;&gt;0,MOD(VALUE(MID('Translation Review'!P69,2,4)),400)=0)),29,28),31,30,31,30,31,31,30,31,30,31),VALUE(MID('Translation Review'!P69,13,2))&gt;=0,VALUE(MID('Translation Review'!P69,13,2))&lt;=23,VALUE(MID('Translation Review'!P69,16,2))&gt;=0,VALUE(MID('Translation Review'!P69,16,2))&lt;=59,VALUE(MID('Translation Review'!P69,19,2))&gt;=0,VALUE(MID('Translation Review'!P69,19,2))&lt;=59,OR(AND(LEN('Translation Review'!P69)=21,RIGHT('Translation Review'!P69,1)="Z"),AND(LEN('Translation Review'!P69)=26,OR(MID('Translation Review'!P69,21,1)="+",MID('Translation Review'!P69,21,1)="-"),MID('Translation Review'!P69,24,1)=":",VALUE(MID('Translation Review'!P69,22,2))&gt;=0,VALUE(MID('Translation Review'!P69,22,2))&lt;=23,VALUE(MID('Translation Review'!P69,25,2))&gt;=0,VALUE(MID('Translation Review'!P69,25,2))&lt;=59))),0,1),1)</x:f>
        <x:v>0</x:v>
      </x:c>
      <x:c r="E69" s="8" t="n">
        <x:f>IF(AND(ISNUMBER('Translation Review'!Q69),'Translation Review'!Q69&gt;0,'Translation Review'!Q69=INT('Translation Review'!Q69)),0,1)</x:f>
        <x:v>0</x:v>
      </x:c>
    </x:row>
    <x:row r="70" ht="24" customHeight="1">
      <x:c r="A70" s="8" t="str">
        <x:v>act_extra_prune_tool.01</x:v>
      </x:c>
      <x:c r="B70" s="8" t="n">
        <x:f>IFERROR(IF(REGEXTEST('Translation Review'!E70,"[ก-๙]"),1,0),1)</x:f>
        <x:v>0</x:v>
      </x:c>
      <x:c r="C70" s="8" t="n">
        <x:f>IF(OR('Translation Review'!F70="direct",'Translation Review'!F70="plain_english"),0,1)</x:f>
        <x:v>0</x:v>
      </x:c>
      <x:c r="D70" s="8" t="n">
        <x:f>IFERROR(IF(AND(OR(LEN('Translation Review'!P70)=21,LEN('Translation Review'!P70)=26),MID('Translation Review'!P70,6,1)="-",MID('Translation Review'!P70,9,1)="-",MID('Translation Review'!P70,12,1)="T",MID('Translation Review'!P70,15,1)=":",MID('Translation Review'!P70,18,1)=":",VALUE(MID('Translation Review'!P70,7,2))&gt;=1,VALUE(MID('Translation Review'!P70,7,2))&lt;=12,VALUE(MID('Translation Review'!P70,10,2))&gt;=1,VALUE(MID('Translation Review'!P70,10,2))&lt;=CHOOSE(VALUE(MID('Translation Review'!P70,7,2)),31,IF(AND(MOD(VALUE(MID('Translation Review'!P70,2,4)),4)=0,OR(MOD(VALUE(MID('Translation Review'!P70,2,4)),100)&lt;&gt;0,MOD(VALUE(MID('Translation Review'!P70,2,4)),400)=0)),29,28),31,30,31,30,31,31,30,31,30,31),VALUE(MID('Translation Review'!P70,13,2))&gt;=0,VALUE(MID('Translation Review'!P70,13,2))&lt;=23,VALUE(MID('Translation Review'!P70,16,2))&gt;=0,VALUE(MID('Translation Review'!P70,16,2))&lt;=59,VALUE(MID('Translation Review'!P70,19,2))&gt;=0,VALUE(MID('Translation Review'!P70,19,2))&lt;=59,OR(AND(LEN('Translation Review'!P70)=21,RIGHT('Translation Review'!P70,1)="Z"),AND(LEN('Translation Review'!P70)=26,OR(MID('Translation Review'!P70,21,1)="+",MID('Translation Review'!P70,21,1)="-"),MID('Translation Review'!P70,24,1)=":",VALUE(MID('Translation Review'!P70,22,2))&gt;=0,VALUE(MID('Translation Review'!P70,22,2))&lt;=23,VALUE(MID('Translation Review'!P70,25,2))&gt;=0,VALUE(MID('Translation Review'!P70,25,2))&lt;=59))),0,1),1)</x:f>
        <x:v>0</x:v>
      </x:c>
      <x:c r="E70" s="8" t="n">
        <x:f>IF(AND(ISNUMBER('Translation Review'!Q70),'Translation Review'!Q70&gt;0,'Translation Review'!Q70=INT('Translation Review'!Q70)),0,1)</x:f>
        <x:v>0</x:v>
      </x:c>
    </x:row>
    <x:row r="71" ht="24" customHeight="1">
      <x:c r="A71" s="8" t="str">
        <x:v>act_extra_spray_strap.01</x:v>
      </x:c>
      <x:c r="B71" s="8" t="n">
        <x:f>IFERROR(IF(REGEXTEST('Translation Review'!E71,"[ก-๙]"),1,0),1)</x:f>
        <x:v>0</x:v>
      </x:c>
      <x:c r="C71" s="8" t="n">
        <x:f>IF(OR('Translation Review'!F71="direct",'Translation Review'!F71="plain_english"),0,1)</x:f>
        <x:v>0</x:v>
      </x:c>
      <x:c r="D71" s="8" t="n">
        <x:f>IFERROR(IF(AND(OR(LEN('Translation Review'!P71)=21,LEN('Translation Review'!P71)=26),MID('Translation Review'!P71,6,1)="-",MID('Translation Review'!P71,9,1)="-",MID('Translation Review'!P71,12,1)="T",MID('Translation Review'!P71,15,1)=":",MID('Translation Review'!P71,18,1)=":",VALUE(MID('Translation Review'!P71,7,2))&gt;=1,VALUE(MID('Translation Review'!P71,7,2))&lt;=12,VALUE(MID('Translation Review'!P71,10,2))&gt;=1,VALUE(MID('Translation Review'!P71,10,2))&lt;=CHOOSE(VALUE(MID('Translation Review'!P71,7,2)),31,IF(AND(MOD(VALUE(MID('Translation Review'!P71,2,4)),4)=0,OR(MOD(VALUE(MID('Translation Review'!P71,2,4)),100)&lt;&gt;0,MOD(VALUE(MID('Translation Review'!P71,2,4)),400)=0)),29,28),31,30,31,30,31,31,30,31,30,31),VALUE(MID('Translation Review'!P71,13,2))&gt;=0,VALUE(MID('Translation Review'!P71,13,2))&lt;=23,VALUE(MID('Translation Review'!P71,16,2))&gt;=0,VALUE(MID('Translation Review'!P71,16,2))&lt;=59,VALUE(MID('Translation Review'!P71,19,2))&gt;=0,VALUE(MID('Translation Review'!P71,19,2))&lt;=59,OR(AND(LEN('Translation Review'!P71)=21,RIGHT('Translation Review'!P71,1)="Z"),AND(LEN('Translation Review'!P71)=26,OR(MID('Translation Review'!P71,21,1)="+",MID('Translation Review'!P71,21,1)="-"),MID('Translation Review'!P71,24,1)=":",VALUE(MID('Translation Review'!P71,22,2))&gt;=0,VALUE(MID('Translation Review'!P71,22,2))&lt;=23,VALUE(MID('Translation Review'!P71,25,2))&gt;=0,VALUE(MID('Translation Review'!P71,25,2))&lt;=59))),0,1),1)</x:f>
        <x:v>0</x:v>
      </x:c>
      <x:c r="E71" s="8" t="n">
        <x:f>IF(AND(ISNUMBER('Translation Review'!Q71),'Translation Review'!Q71&gt;0,'Translation Review'!Q71=INT('Translation Review'!Q71)),0,1)</x:f>
        <x:v>0</x:v>
      </x:c>
    </x:row>
    <x:row r="72" ht="24" customHeight="1">
      <x:c r="A72" s="8" t="str">
        <x:v>act_extra_spray_switch.01</x:v>
      </x:c>
      <x:c r="B72" s="8" t="n">
        <x:f>IFERROR(IF(REGEXTEST('Translation Review'!E72,"[ก-๙]"),1,0),1)</x:f>
        <x:v>0</x:v>
      </x:c>
      <x:c r="C72" s="8" t="n">
        <x:f>IF(OR('Translation Review'!F72="direct",'Translation Review'!F72="plain_english"),0,1)</x:f>
        <x:v>0</x:v>
      </x:c>
      <x:c r="D72" s="8" t="n">
        <x:f>IFERROR(IF(AND(OR(LEN('Translation Review'!P72)=21,LEN('Translation Review'!P72)=26),MID('Translation Review'!P72,6,1)="-",MID('Translation Review'!P72,9,1)="-",MID('Translation Review'!P72,12,1)="T",MID('Translation Review'!P72,15,1)=":",MID('Translation Review'!P72,18,1)=":",VALUE(MID('Translation Review'!P72,7,2))&gt;=1,VALUE(MID('Translation Review'!P72,7,2))&lt;=12,VALUE(MID('Translation Review'!P72,10,2))&gt;=1,VALUE(MID('Translation Review'!P72,10,2))&lt;=CHOOSE(VALUE(MID('Translation Review'!P72,7,2)),31,IF(AND(MOD(VALUE(MID('Translation Review'!P72,2,4)),4)=0,OR(MOD(VALUE(MID('Translation Review'!P72,2,4)),100)&lt;&gt;0,MOD(VALUE(MID('Translation Review'!P72,2,4)),400)=0)),29,28),31,30,31,30,31,31,30,31,30,31),VALUE(MID('Translation Review'!P72,13,2))&gt;=0,VALUE(MID('Translation Review'!P72,13,2))&lt;=23,VALUE(MID('Translation Review'!P72,16,2))&gt;=0,VALUE(MID('Translation Review'!P72,16,2))&lt;=59,VALUE(MID('Translation Review'!P72,19,2))&gt;=0,VALUE(MID('Translation Review'!P72,19,2))&lt;=59,OR(AND(LEN('Translation Review'!P72)=21,RIGHT('Translation Review'!P72,1)="Z"),AND(LEN('Translation Review'!P72)=26,OR(MID('Translation Review'!P72,21,1)="+",MID('Translation Review'!P72,21,1)="-"),MID('Translation Review'!P72,24,1)=":",VALUE(MID('Translation Review'!P72,22,2))&gt;=0,VALUE(MID('Translation Review'!P72,22,2))&lt;=23,VALUE(MID('Translation Review'!P72,25,2))&gt;=0,VALUE(MID('Translation Review'!P72,25,2))&lt;=59))),0,1),1)</x:f>
        <x:v>0</x:v>
      </x:c>
      <x:c r="E72" s="8" t="n">
        <x:f>IF(AND(ISNUMBER('Translation Review'!Q72),'Translation Review'!Q72&gt;0,'Translation Review'!Q72=INT('Translation Review'!Q72)),0,1)</x:f>
        <x:v>0</x:v>
      </x:c>
    </x:row>
    <x:row r="73" ht="24" customHeight="1">
      <x:c r="A73" s="8" t="str">
        <x:v>act_fert_ref_high.01</x:v>
      </x:c>
      <x:c r="B73" s="8" t="n">
        <x:f>IFERROR(IF(REGEXTEST('Translation Review'!E73,"[ก-๙]"),1,0),1)</x:f>
        <x:v>0</x:v>
      </x:c>
      <x:c r="C73" s="8" t="n">
        <x:f>IF(OR('Translation Review'!F73="direct",'Translation Review'!F73="plain_english"),0,1)</x:f>
        <x:v>0</x:v>
      </x:c>
      <x:c r="D73" s="8" t="n">
        <x:f>IFERROR(IF(AND(OR(LEN('Translation Review'!P73)=21,LEN('Translation Review'!P73)=26),MID('Translation Review'!P73,6,1)="-",MID('Translation Review'!P73,9,1)="-",MID('Translation Review'!P73,12,1)="T",MID('Translation Review'!P73,15,1)=":",MID('Translation Review'!P73,18,1)=":",VALUE(MID('Translation Review'!P73,7,2))&gt;=1,VALUE(MID('Translation Review'!P73,7,2))&lt;=12,VALUE(MID('Translation Review'!P73,10,2))&gt;=1,VALUE(MID('Translation Review'!P73,10,2))&lt;=CHOOSE(VALUE(MID('Translation Review'!P73,7,2)),31,IF(AND(MOD(VALUE(MID('Translation Review'!P73,2,4)),4)=0,OR(MOD(VALUE(MID('Translation Review'!P73,2,4)),100)&lt;&gt;0,MOD(VALUE(MID('Translation Review'!P73,2,4)),400)=0)),29,28),31,30,31,30,31,31,30,31,30,31),VALUE(MID('Translation Review'!P73,13,2))&gt;=0,VALUE(MID('Translation Review'!P73,13,2))&lt;=23,VALUE(MID('Translation Review'!P73,16,2))&gt;=0,VALUE(MID('Translation Review'!P73,16,2))&lt;=59,VALUE(MID('Translation Review'!P73,19,2))&gt;=0,VALUE(MID('Translation Review'!P73,19,2))&lt;=59,OR(AND(LEN('Translation Review'!P73)=21,RIGHT('Translation Review'!P73,1)="Z"),AND(LEN('Translation Review'!P73)=26,OR(MID('Translation Review'!P73,21,1)="+",MID('Translation Review'!P73,21,1)="-"),MID('Translation Review'!P73,24,1)=":",VALUE(MID('Translation Review'!P73,22,2))&gt;=0,VALUE(MID('Translation Review'!P73,22,2))&lt;=23,VALUE(MID('Translation Review'!P73,25,2))&gt;=0,VALUE(MID('Translation Review'!P73,25,2))&lt;=59))),0,1),1)</x:f>
        <x:v>0</x:v>
      </x:c>
      <x:c r="E73" s="8" t="n">
        <x:f>IF(AND(ISNUMBER('Translation Review'!Q73),'Translation Review'!Q73&gt;0,'Translation Review'!Q73=INT('Translation Review'!Q73)),0,1)</x:f>
        <x:v>0</x:v>
      </x:c>
    </x:row>
    <x:row r="74" ht="24" customHeight="1">
      <x:c r="A74" s="8" t="str">
        <x:v>act_fert_ref_high.02</x:v>
      </x:c>
      <x:c r="B74" s="8" t="n">
        <x:f>IFERROR(IF(REGEXTEST('Translation Review'!E74,"[ก-๙]"),1,0),1)</x:f>
        <x:v>0</x:v>
      </x:c>
      <x:c r="C74" s="8" t="n">
        <x:f>IF(OR('Translation Review'!F74="direct",'Translation Review'!F74="plain_english"),0,1)</x:f>
        <x:v>0</x:v>
      </x:c>
      <x:c r="D74" s="8" t="n">
        <x:f>IFERROR(IF(AND(OR(LEN('Translation Review'!P74)=21,LEN('Translation Review'!P74)=26),MID('Translation Review'!P74,6,1)="-",MID('Translation Review'!P74,9,1)="-",MID('Translation Review'!P74,12,1)="T",MID('Translation Review'!P74,15,1)=":",MID('Translation Review'!P74,18,1)=":",VALUE(MID('Translation Review'!P74,7,2))&gt;=1,VALUE(MID('Translation Review'!P74,7,2))&lt;=12,VALUE(MID('Translation Review'!P74,10,2))&gt;=1,VALUE(MID('Translation Review'!P74,10,2))&lt;=CHOOSE(VALUE(MID('Translation Review'!P74,7,2)),31,IF(AND(MOD(VALUE(MID('Translation Review'!P74,2,4)),4)=0,OR(MOD(VALUE(MID('Translation Review'!P74,2,4)),100)&lt;&gt;0,MOD(VALUE(MID('Translation Review'!P74,2,4)),400)=0)),29,28),31,30,31,30,31,31,30,31,30,31),VALUE(MID('Translation Review'!P74,13,2))&gt;=0,VALUE(MID('Translation Review'!P74,13,2))&lt;=23,VALUE(MID('Translation Review'!P74,16,2))&gt;=0,VALUE(MID('Translation Review'!P74,16,2))&lt;=59,VALUE(MID('Translation Review'!P74,19,2))&gt;=0,VALUE(MID('Translation Review'!P74,19,2))&lt;=59,OR(AND(LEN('Translation Review'!P74)=21,RIGHT('Translation Review'!P74,1)="Z"),AND(LEN('Translation Review'!P74)=26,OR(MID('Translation Review'!P74,21,1)="+",MID('Translation Review'!P74,21,1)="-"),MID('Translation Review'!P74,24,1)=":",VALUE(MID('Translation Review'!P74,22,2))&gt;=0,VALUE(MID('Translation Review'!P74,22,2))&lt;=23,VALUE(MID('Translation Review'!P74,25,2))&gt;=0,VALUE(MID('Translation Review'!P74,25,2))&lt;=59))),0,1),1)</x:f>
        <x:v>0</x:v>
      </x:c>
      <x:c r="E74" s="8" t="n">
        <x:f>IF(AND(ISNUMBER('Translation Review'!Q74),'Translation Review'!Q74&gt;0,'Translation Review'!Q74=INT('Translation Review'!Q74)),0,1)</x:f>
        <x:v>0</x:v>
      </x:c>
    </x:row>
    <x:row r="75" ht="24" customHeight="1">
      <x:c r="A75" s="8" t="str">
        <x:v>act_fert_ref_high.03</x:v>
      </x:c>
      <x:c r="B75" s="8" t="n">
        <x:f>IFERROR(IF(REGEXTEST('Translation Review'!E75,"[ก-๙]"),1,0),1)</x:f>
        <x:v>0</x:v>
      </x:c>
      <x:c r="C75" s="8" t="n">
        <x:f>IF(OR('Translation Review'!F75="direct",'Translation Review'!F75="plain_english"),0,1)</x:f>
        <x:v>0</x:v>
      </x:c>
      <x:c r="D75" s="8" t="n">
        <x:f>IFERROR(IF(AND(OR(LEN('Translation Review'!P75)=21,LEN('Translation Review'!P75)=26),MID('Translation Review'!P75,6,1)="-",MID('Translation Review'!P75,9,1)="-",MID('Translation Review'!P75,12,1)="T",MID('Translation Review'!P75,15,1)=":",MID('Translation Review'!P75,18,1)=":",VALUE(MID('Translation Review'!P75,7,2))&gt;=1,VALUE(MID('Translation Review'!P75,7,2))&lt;=12,VALUE(MID('Translation Review'!P75,10,2))&gt;=1,VALUE(MID('Translation Review'!P75,10,2))&lt;=CHOOSE(VALUE(MID('Translation Review'!P75,7,2)),31,IF(AND(MOD(VALUE(MID('Translation Review'!P75,2,4)),4)=0,OR(MOD(VALUE(MID('Translation Review'!P75,2,4)),100)&lt;&gt;0,MOD(VALUE(MID('Translation Review'!P75,2,4)),400)=0)),29,28),31,30,31,30,31,31,30,31,30,31),VALUE(MID('Translation Review'!P75,13,2))&gt;=0,VALUE(MID('Translation Review'!P75,13,2))&lt;=23,VALUE(MID('Translation Review'!P75,16,2))&gt;=0,VALUE(MID('Translation Review'!P75,16,2))&lt;=59,VALUE(MID('Translation Review'!P75,19,2))&gt;=0,VALUE(MID('Translation Review'!P75,19,2))&lt;=59,OR(AND(LEN('Translation Review'!P75)=21,RIGHT('Translation Review'!P75,1)="Z"),AND(LEN('Translation Review'!P75)=26,OR(MID('Translation Review'!P75,21,1)="+",MID('Translation Review'!P75,21,1)="-"),MID('Translation Review'!P75,24,1)=":",VALUE(MID('Translation Review'!P75,22,2))&gt;=0,VALUE(MID('Translation Review'!P75,22,2))&lt;=23,VALUE(MID('Translation Review'!P75,25,2))&gt;=0,VALUE(MID('Translation Review'!P75,25,2))&lt;=59))),0,1),1)</x:f>
        <x:v>0</x:v>
      </x:c>
      <x:c r="E75" s="8" t="n">
        <x:f>IF(AND(ISNUMBER('Translation Review'!Q75),'Translation Review'!Q75&gt;0,'Translation Review'!Q75=INT('Translation Review'!Q75)),0,1)</x:f>
        <x:v>0</x:v>
      </x:c>
    </x:row>
    <x:row r="76" ht="24" customHeight="1">
      <x:c r="A76" s="8" t="str">
        <x:v>act_fert_ref_high.04</x:v>
      </x:c>
      <x:c r="B76" s="8" t="n">
        <x:f>IFERROR(IF(REGEXTEST('Translation Review'!E76,"[ก-๙]"),1,0),1)</x:f>
        <x:v>0</x:v>
      </x:c>
      <x:c r="C76" s="8" t="n">
        <x:f>IF(OR('Translation Review'!F76="direct",'Translation Review'!F76="plain_english"),0,1)</x:f>
        <x:v>0</x:v>
      </x:c>
      <x:c r="D76" s="8" t="n">
        <x:f>IFERROR(IF(AND(OR(LEN('Translation Review'!P76)=21,LEN('Translation Review'!P76)=26),MID('Translation Review'!P76,6,1)="-",MID('Translation Review'!P76,9,1)="-",MID('Translation Review'!P76,12,1)="T",MID('Translation Review'!P76,15,1)=":",MID('Translation Review'!P76,18,1)=":",VALUE(MID('Translation Review'!P76,7,2))&gt;=1,VALUE(MID('Translation Review'!P76,7,2))&lt;=12,VALUE(MID('Translation Review'!P76,10,2))&gt;=1,VALUE(MID('Translation Review'!P76,10,2))&lt;=CHOOSE(VALUE(MID('Translation Review'!P76,7,2)),31,IF(AND(MOD(VALUE(MID('Translation Review'!P76,2,4)),4)=0,OR(MOD(VALUE(MID('Translation Review'!P76,2,4)),100)&lt;&gt;0,MOD(VALUE(MID('Translation Review'!P76,2,4)),400)=0)),29,28),31,30,31,30,31,31,30,31,30,31),VALUE(MID('Translation Review'!P76,13,2))&gt;=0,VALUE(MID('Translation Review'!P76,13,2))&lt;=23,VALUE(MID('Translation Review'!P76,16,2))&gt;=0,VALUE(MID('Translation Review'!P76,16,2))&lt;=59,VALUE(MID('Translation Review'!P76,19,2))&gt;=0,VALUE(MID('Translation Review'!P76,19,2))&lt;=59,OR(AND(LEN('Translation Review'!P76)=21,RIGHT('Translation Review'!P76,1)="Z"),AND(LEN('Translation Review'!P76)=26,OR(MID('Translation Review'!P76,21,1)="+",MID('Translation Review'!P76,21,1)="-"),MID('Translation Review'!P76,24,1)=":",VALUE(MID('Translation Review'!P76,22,2))&gt;=0,VALUE(MID('Translation Review'!P76,22,2))&lt;=23,VALUE(MID('Translation Review'!P76,25,2))&gt;=0,VALUE(MID('Translation Review'!P76,25,2))&lt;=59))),0,1),1)</x:f>
        <x:v>0</x:v>
      </x:c>
      <x:c r="E76" s="8" t="n">
        <x:f>IF(AND(ISNUMBER('Translation Review'!Q76),'Translation Review'!Q76&gt;0,'Translation Review'!Q76=INT('Translation Review'!Q76)),0,1)</x:f>
        <x:v>0</x:v>
      </x:c>
    </x:row>
    <x:row r="77" ht="24" customHeight="1">
      <x:c r="A77" s="8" t="str">
        <x:v>act_fert_ref_low.01</x:v>
      </x:c>
      <x:c r="B77" s="8" t="n">
        <x:f>IFERROR(IF(REGEXTEST('Translation Review'!E77,"[ก-๙]"),1,0),1)</x:f>
        <x:v>0</x:v>
      </x:c>
      <x:c r="C77" s="8" t="n">
        <x:f>IF(OR('Translation Review'!F77="direct",'Translation Review'!F77="plain_english"),0,1)</x:f>
        <x:v>0</x:v>
      </x:c>
      <x:c r="D77" s="8" t="n">
        <x:f>IFERROR(IF(AND(OR(LEN('Translation Review'!P77)=21,LEN('Translation Review'!P77)=26),MID('Translation Review'!P77,6,1)="-",MID('Translation Review'!P77,9,1)="-",MID('Translation Review'!P77,12,1)="T",MID('Translation Review'!P77,15,1)=":",MID('Translation Review'!P77,18,1)=":",VALUE(MID('Translation Review'!P77,7,2))&gt;=1,VALUE(MID('Translation Review'!P77,7,2))&lt;=12,VALUE(MID('Translation Review'!P77,10,2))&gt;=1,VALUE(MID('Translation Review'!P77,10,2))&lt;=CHOOSE(VALUE(MID('Translation Review'!P77,7,2)),31,IF(AND(MOD(VALUE(MID('Translation Review'!P77,2,4)),4)=0,OR(MOD(VALUE(MID('Translation Review'!P77,2,4)),100)&lt;&gt;0,MOD(VALUE(MID('Translation Review'!P77,2,4)),400)=0)),29,28),31,30,31,30,31,31,30,31,30,31),VALUE(MID('Translation Review'!P77,13,2))&gt;=0,VALUE(MID('Translation Review'!P77,13,2))&lt;=23,VALUE(MID('Translation Review'!P77,16,2))&gt;=0,VALUE(MID('Translation Review'!P77,16,2))&lt;=59,VALUE(MID('Translation Review'!P77,19,2))&gt;=0,VALUE(MID('Translation Review'!P77,19,2))&lt;=59,OR(AND(LEN('Translation Review'!P77)=21,RIGHT('Translation Review'!P77,1)="Z"),AND(LEN('Translation Review'!P77)=26,OR(MID('Translation Review'!P77,21,1)="+",MID('Translation Review'!P77,21,1)="-"),MID('Translation Review'!P77,24,1)=":",VALUE(MID('Translation Review'!P77,22,2))&gt;=0,VALUE(MID('Translation Review'!P77,22,2))&lt;=23,VALUE(MID('Translation Review'!P77,25,2))&gt;=0,VALUE(MID('Translation Review'!P77,25,2))&lt;=59))),0,1),1)</x:f>
        <x:v>0</x:v>
      </x:c>
      <x:c r="E77" s="8" t="n">
        <x:f>IF(AND(ISNUMBER('Translation Review'!Q77),'Translation Review'!Q77&gt;0,'Translation Review'!Q77=INT('Translation Review'!Q77)),0,1)</x:f>
        <x:v>0</x:v>
      </x:c>
    </x:row>
    <x:row r="78" ht="24" customHeight="1">
      <x:c r="A78" s="8" t="str">
        <x:v>act_fert_ref_medium.01</x:v>
      </x:c>
      <x:c r="B78" s="8" t="n">
        <x:f>IFERROR(IF(REGEXTEST('Translation Review'!E78,"[ก-๙]"),1,0),1)</x:f>
        <x:v>0</x:v>
      </x:c>
      <x:c r="C78" s="8" t="n">
        <x:f>IF(OR('Translation Review'!F78="direct",'Translation Review'!F78="plain_english"),0,1)</x:f>
        <x:v>0</x:v>
      </x:c>
      <x:c r="D78" s="8" t="n">
        <x:f>IFERROR(IF(AND(OR(LEN('Translation Review'!P78)=21,LEN('Translation Review'!P78)=26),MID('Translation Review'!P78,6,1)="-",MID('Translation Review'!P78,9,1)="-",MID('Translation Review'!P78,12,1)="T",MID('Translation Review'!P78,15,1)=":",MID('Translation Review'!P78,18,1)=":",VALUE(MID('Translation Review'!P78,7,2))&gt;=1,VALUE(MID('Translation Review'!P78,7,2))&lt;=12,VALUE(MID('Translation Review'!P78,10,2))&gt;=1,VALUE(MID('Translation Review'!P78,10,2))&lt;=CHOOSE(VALUE(MID('Translation Review'!P78,7,2)),31,IF(AND(MOD(VALUE(MID('Translation Review'!P78,2,4)),4)=0,OR(MOD(VALUE(MID('Translation Review'!P78,2,4)),100)&lt;&gt;0,MOD(VALUE(MID('Translation Review'!P78,2,4)),400)=0)),29,28),31,30,31,30,31,31,30,31,30,31),VALUE(MID('Translation Review'!P78,13,2))&gt;=0,VALUE(MID('Translation Review'!P78,13,2))&lt;=23,VALUE(MID('Translation Review'!P78,16,2))&gt;=0,VALUE(MID('Translation Review'!P78,16,2))&lt;=59,VALUE(MID('Translation Review'!P78,19,2))&gt;=0,VALUE(MID('Translation Review'!P78,19,2))&lt;=59,OR(AND(LEN('Translation Review'!P78)=21,RIGHT('Translation Review'!P78,1)="Z"),AND(LEN('Translation Review'!P78)=26,OR(MID('Translation Review'!P78,21,1)="+",MID('Translation Review'!P78,21,1)="-"),MID('Translation Review'!P78,24,1)=":",VALUE(MID('Translation Review'!P78,22,2))&gt;=0,VALUE(MID('Translation Review'!P78,22,2))&lt;=23,VALUE(MID('Translation Review'!P78,25,2))&gt;=0,VALUE(MID('Translation Review'!P78,25,2))&lt;=59))),0,1),1)</x:f>
        <x:v>0</x:v>
      </x:c>
      <x:c r="E78" s="8" t="n">
        <x:f>IF(AND(ISNUMBER('Translation Review'!Q78),'Translation Review'!Q78&gt;0,'Translation Review'!Q78=INT('Translation Review'!Q78)),0,1)</x:f>
        <x:v>0</x:v>
      </x:c>
    </x:row>
    <x:row r="79" ht="24" customHeight="1">
      <x:c r="A79" s="8" t="str">
        <x:v>act_fert_ref_medium.02</x:v>
      </x:c>
      <x:c r="B79" s="8" t="n">
        <x:f>IFERROR(IF(REGEXTEST('Translation Review'!E79,"[ก-๙]"),1,0),1)</x:f>
        <x:v>0</x:v>
      </x:c>
      <x:c r="C79" s="8" t="n">
        <x:f>IF(OR('Translation Review'!F79="direct",'Translation Review'!F79="plain_english"),0,1)</x:f>
        <x:v>0</x:v>
      </x:c>
      <x:c r="D79" s="8" t="n">
        <x:f>IFERROR(IF(AND(OR(LEN('Translation Review'!P79)=21,LEN('Translation Review'!P79)=26),MID('Translation Review'!P79,6,1)="-",MID('Translation Review'!P79,9,1)="-",MID('Translation Review'!P79,12,1)="T",MID('Translation Review'!P79,15,1)=":",MID('Translation Review'!P79,18,1)=":",VALUE(MID('Translation Review'!P79,7,2))&gt;=1,VALUE(MID('Translation Review'!P79,7,2))&lt;=12,VALUE(MID('Translation Review'!P79,10,2))&gt;=1,VALUE(MID('Translation Review'!P79,10,2))&lt;=CHOOSE(VALUE(MID('Translation Review'!P79,7,2)),31,IF(AND(MOD(VALUE(MID('Translation Review'!P79,2,4)),4)=0,OR(MOD(VALUE(MID('Translation Review'!P79,2,4)),100)&lt;&gt;0,MOD(VALUE(MID('Translation Review'!P79,2,4)),400)=0)),29,28),31,30,31,30,31,31,30,31,30,31),VALUE(MID('Translation Review'!P79,13,2))&gt;=0,VALUE(MID('Translation Review'!P79,13,2))&lt;=23,VALUE(MID('Translation Review'!P79,16,2))&gt;=0,VALUE(MID('Translation Review'!P79,16,2))&lt;=59,VALUE(MID('Translation Review'!P79,19,2))&gt;=0,VALUE(MID('Translation Review'!P79,19,2))&lt;=59,OR(AND(LEN('Translation Review'!P79)=21,RIGHT('Translation Review'!P79,1)="Z"),AND(LEN('Translation Review'!P79)=26,OR(MID('Translation Review'!P79,21,1)="+",MID('Translation Review'!P79,21,1)="-"),MID('Translation Review'!P79,24,1)=":",VALUE(MID('Translation Review'!P79,22,2))&gt;=0,VALUE(MID('Translation Review'!P79,22,2))&lt;=23,VALUE(MID('Translation Review'!P79,25,2))&gt;=0,VALUE(MID('Translation Review'!P79,25,2))&lt;=59))),0,1),1)</x:f>
        <x:v>0</x:v>
      </x:c>
      <x:c r="E79" s="8" t="n">
        <x:f>IF(AND(ISNUMBER('Translation Review'!Q79),'Translation Review'!Q79&gt;0,'Translation Review'!Q79=INT('Translation Review'!Q79)),0,1)</x:f>
        <x:v>0</x:v>
      </x:c>
    </x:row>
    <x:row r="80" ht="24" customHeight="1">
      <x:c r="A80" s="8" t="str">
        <x:v>act_fert_ref_medium.03</x:v>
      </x:c>
      <x:c r="B80" s="8" t="n">
        <x:f>IFERROR(IF(REGEXTEST('Translation Review'!E80,"[ก-๙]"),1,0),1)</x:f>
        <x:v>0</x:v>
      </x:c>
      <x:c r="C80" s="8" t="n">
        <x:f>IF(OR('Translation Review'!F80="direct",'Translation Review'!F80="plain_english"),0,1)</x:f>
        <x:v>0</x:v>
      </x:c>
      <x:c r="D80" s="8" t="n">
        <x:f>IFERROR(IF(AND(OR(LEN('Translation Review'!P80)=21,LEN('Translation Review'!P80)=26),MID('Translation Review'!P80,6,1)="-",MID('Translation Review'!P80,9,1)="-",MID('Translation Review'!P80,12,1)="T",MID('Translation Review'!P80,15,1)=":",MID('Translation Review'!P80,18,1)=":",VALUE(MID('Translation Review'!P80,7,2))&gt;=1,VALUE(MID('Translation Review'!P80,7,2))&lt;=12,VALUE(MID('Translation Review'!P80,10,2))&gt;=1,VALUE(MID('Translation Review'!P80,10,2))&lt;=CHOOSE(VALUE(MID('Translation Review'!P80,7,2)),31,IF(AND(MOD(VALUE(MID('Translation Review'!P80,2,4)),4)=0,OR(MOD(VALUE(MID('Translation Review'!P80,2,4)),100)&lt;&gt;0,MOD(VALUE(MID('Translation Review'!P80,2,4)),400)=0)),29,28),31,30,31,30,31,31,30,31,30,31),VALUE(MID('Translation Review'!P80,13,2))&gt;=0,VALUE(MID('Translation Review'!P80,13,2))&lt;=23,VALUE(MID('Translation Review'!P80,16,2))&gt;=0,VALUE(MID('Translation Review'!P80,16,2))&lt;=59,VALUE(MID('Translation Review'!P80,19,2))&gt;=0,VALUE(MID('Translation Review'!P80,19,2))&lt;=59,OR(AND(LEN('Translation Review'!P80)=21,RIGHT('Translation Review'!P80,1)="Z"),AND(LEN('Translation Review'!P80)=26,OR(MID('Translation Review'!P80,21,1)="+",MID('Translation Review'!P80,21,1)="-"),MID('Translation Review'!P80,24,1)=":",VALUE(MID('Translation Review'!P80,22,2))&gt;=0,VALUE(MID('Translation Review'!P80,22,2))&lt;=23,VALUE(MID('Translation Review'!P80,25,2))&gt;=0,VALUE(MID('Translation Review'!P80,25,2))&lt;=59))),0,1),1)</x:f>
        <x:v>0</x:v>
      </x:c>
      <x:c r="E80" s="8" t="n">
        <x:f>IF(AND(ISNUMBER('Translation Review'!Q80),'Translation Review'!Q80&gt;0,'Translation Review'!Q80=INT('Translation Review'!Q80)),0,1)</x:f>
        <x:v>0</x:v>
      </x:c>
    </x:row>
    <x:row r="81" ht="24" customHeight="1">
      <x:c r="A81" s="8" t="str">
        <x:v>act_fert_split_load.01</x:v>
      </x:c>
      <x:c r="B81" s="8" t="n">
        <x:f>IFERROR(IF(REGEXTEST('Translation Review'!E81,"[ก-๙]"),1,0),1)</x:f>
        <x:v>0</x:v>
      </x:c>
      <x:c r="C81" s="8" t="n">
        <x:f>IF(OR('Translation Review'!F81="direct",'Translation Review'!F81="plain_english"),0,1)</x:f>
        <x:v>0</x:v>
      </x:c>
      <x:c r="D81" s="8" t="n">
        <x:f>IFERROR(IF(AND(OR(LEN('Translation Review'!P81)=21,LEN('Translation Review'!P81)=26),MID('Translation Review'!P81,6,1)="-",MID('Translation Review'!P81,9,1)="-",MID('Translation Review'!P81,12,1)="T",MID('Translation Review'!P81,15,1)=":",MID('Translation Review'!P81,18,1)=":",VALUE(MID('Translation Review'!P81,7,2))&gt;=1,VALUE(MID('Translation Review'!P81,7,2))&lt;=12,VALUE(MID('Translation Review'!P81,10,2))&gt;=1,VALUE(MID('Translation Review'!P81,10,2))&lt;=CHOOSE(VALUE(MID('Translation Review'!P81,7,2)),31,IF(AND(MOD(VALUE(MID('Translation Review'!P81,2,4)),4)=0,OR(MOD(VALUE(MID('Translation Review'!P81,2,4)),100)&lt;&gt;0,MOD(VALUE(MID('Translation Review'!P81,2,4)),400)=0)),29,28),31,30,31,30,31,31,30,31,30,31),VALUE(MID('Translation Review'!P81,13,2))&gt;=0,VALUE(MID('Translation Review'!P81,13,2))&lt;=23,VALUE(MID('Translation Review'!P81,16,2))&gt;=0,VALUE(MID('Translation Review'!P81,16,2))&lt;=59,VALUE(MID('Translation Review'!P81,19,2))&gt;=0,VALUE(MID('Translation Review'!P81,19,2))&lt;=59,OR(AND(LEN('Translation Review'!P81)=21,RIGHT('Translation Review'!P81,1)="Z"),AND(LEN('Translation Review'!P81)=26,OR(MID('Translation Review'!P81,21,1)="+",MID('Translation Review'!P81,21,1)="-"),MID('Translation Review'!P81,24,1)=":",VALUE(MID('Translation Review'!P81,22,2))&gt;=0,VALUE(MID('Translation Review'!P81,22,2))&lt;=23,VALUE(MID('Translation Review'!P81,25,2))&gt;=0,VALUE(MID('Translation Review'!P81,25,2))&lt;=59))),0,1),1)</x:f>
        <x:v>0</x:v>
      </x:c>
      <x:c r="E81" s="8" t="n">
        <x:f>IF(AND(ISNUMBER('Translation Review'!Q81),'Translation Review'!Q81&gt;0,'Translation Review'!Q81=INT('Translation Review'!Q81)),0,1)</x:f>
        <x:v>0</x:v>
      </x:c>
    </x:row>
    <x:row r="82" ht="24" customHeight="1">
      <x:c r="A82" s="8" t="str">
        <x:v>act_harvest_empty_often.01</x:v>
      </x:c>
      <x:c r="B82" s="8" t="n">
        <x:f>IFERROR(IF(REGEXTEST('Translation Review'!E82,"[ก-๙]"),1,0),1)</x:f>
        <x:v>0</x:v>
      </x:c>
      <x:c r="C82" s="8" t="n">
        <x:f>IF(OR('Translation Review'!F82="direct",'Translation Review'!F82="plain_english"),0,1)</x:f>
        <x:v>0</x:v>
      </x:c>
      <x:c r="D82" s="8" t="n">
        <x:f>IFERROR(IF(AND(OR(LEN('Translation Review'!P82)=21,LEN('Translation Review'!P82)=26),MID('Translation Review'!P82,6,1)="-",MID('Translation Review'!P82,9,1)="-",MID('Translation Review'!P82,12,1)="T",MID('Translation Review'!P82,15,1)=":",MID('Translation Review'!P82,18,1)=":",VALUE(MID('Translation Review'!P82,7,2))&gt;=1,VALUE(MID('Translation Review'!P82,7,2))&lt;=12,VALUE(MID('Translation Review'!P82,10,2))&gt;=1,VALUE(MID('Translation Review'!P82,10,2))&lt;=CHOOSE(VALUE(MID('Translation Review'!P82,7,2)),31,IF(AND(MOD(VALUE(MID('Translation Review'!P82,2,4)),4)=0,OR(MOD(VALUE(MID('Translation Review'!P82,2,4)),100)&lt;&gt;0,MOD(VALUE(MID('Translation Review'!P82,2,4)),400)=0)),29,28),31,30,31,30,31,31,30,31,30,31),VALUE(MID('Translation Review'!P82,13,2))&gt;=0,VALUE(MID('Translation Review'!P82,13,2))&lt;=23,VALUE(MID('Translation Review'!P82,16,2))&gt;=0,VALUE(MID('Translation Review'!P82,16,2))&lt;=59,VALUE(MID('Translation Review'!P82,19,2))&gt;=0,VALUE(MID('Translation Review'!P82,19,2))&lt;=59,OR(AND(LEN('Translation Review'!P82)=21,RIGHT('Translation Review'!P82,1)="Z"),AND(LEN('Translation Review'!P82)=26,OR(MID('Translation Review'!P82,21,1)="+",MID('Translation Review'!P82,21,1)="-"),MID('Translation Review'!P82,24,1)=":",VALUE(MID('Translation Review'!P82,22,2))&gt;=0,VALUE(MID('Translation Review'!P82,22,2))&lt;=23,VALUE(MID('Translation Review'!P82,25,2))&gt;=0,VALUE(MID('Translation Review'!P82,25,2))&lt;=59))),0,1),1)</x:f>
        <x:v>0</x:v>
      </x:c>
      <x:c r="E82" s="8" t="n">
        <x:f>IF(AND(ISNUMBER('Translation Review'!Q82),'Translation Review'!Q82&gt;0,'Translation Review'!Q82=INT('Translation Review'!Q82)),0,1)</x:f>
        <x:v>0</x:v>
      </x:c>
    </x:row>
    <x:row r="83" ht="24" customHeight="1">
      <x:c r="A83" s="8" t="str">
        <x:v>act_harvest_move_closer.01</x:v>
      </x:c>
      <x:c r="B83" s="8" t="n">
        <x:f>IFERROR(IF(REGEXTEST('Translation Review'!E83,"[ก-๙]"),1,0),1)</x:f>
        <x:v>0</x:v>
      </x:c>
      <x:c r="C83" s="8" t="n">
        <x:f>IF(OR('Translation Review'!F83="direct",'Translation Review'!F83="plain_english"),0,1)</x:f>
        <x:v>0</x:v>
      </x:c>
      <x:c r="D83" s="8" t="n">
        <x:f>IFERROR(IF(AND(OR(LEN('Translation Review'!P83)=21,LEN('Translation Review'!P83)=26),MID('Translation Review'!P83,6,1)="-",MID('Translation Review'!P83,9,1)="-",MID('Translation Review'!P83,12,1)="T",MID('Translation Review'!P83,15,1)=":",MID('Translation Review'!P83,18,1)=":",VALUE(MID('Translation Review'!P83,7,2))&gt;=1,VALUE(MID('Translation Review'!P83,7,2))&lt;=12,VALUE(MID('Translation Review'!P83,10,2))&gt;=1,VALUE(MID('Translation Review'!P83,10,2))&lt;=CHOOSE(VALUE(MID('Translation Review'!P83,7,2)),31,IF(AND(MOD(VALUE(MID('Translation Review'!P83,2,4)),4)=0,OR(MOD(VALUE(MID('Translation Review'!P83,2,4)),100)&lt;&gt;0,MOD(VALUE(MID('Translation Review'!P83,2,4)),400)=0)),29,28),31,30,31,30,31,31,30,31,30,31),VALUE(MID('Translation Review'!P83,13,2))&gt;=0,VALUE(MID('Translation Review'!P83,13,2))&lt;=23,VALUE(MID('Translation Review'!P83,16,2))&gt;=0,VALUE(MID('Translation Review'!P83,16,2))&lt;=59,VALUE(MID('Translation Review'!P83,19,2))&gt;=0,VALUE(MID('Translation Review'!P83,19,2))&lt;=59,OR(AND(LEN('Translation Review'!P83)=21,RIGHT('Translation Review'!P83,1)="Z"),AND(LEN('Translation Review'!P83)=26,OR(MID('Translation Review'!P83,21,1)="+",MID('Translation Review'!P83,21,1)="-"),MID('Translation Review'!P83,24,1)=":",VALUE(MID('Translation Review'!P83,22,2))&gt;=0,VALUE(MID('Translation Review'!P83,22,2))&lt;=23,VALUE(MID('Translation Review'!P83,25,2))&gt;=0,VALUE(MID('Translation Review'!P83,25,2))&lt;=59))),0,1),1)</x:f>
        <x:v>0</x:v>
      </x:c>
      <x:c r="E83" s="8" t="n">
        <x:f>IF(AND(ISNUMBER('Translation Review'!Q83),'Translation Review'!Q83&gt;0,'Translation Review'!Q83=INT('Translation Review'!Q83)),0,1)</x:f>
        <x:v>0</x:v>
      </x:c>
    </x:row>
    <x:row r="84" ht="24" customHeight="1">
      <x:c r="A84" s="8" t="str">
        <x:v>act_harvest_ref_high.01</x:v>
      </x:c>
      <x:c r="B84" s="8" t="n">
        <x:f>IFERROR(IF(REGEXTEST('Translation Review'!E84,"[ก-๙]"),1,0),1)</x:f>
        <x:v>0</x:v>
      </x:c>
      <x:c r="C84" s="8" t="n">
        <x:f>IF(OR('Translation Review'!F84="direct",'Translation Review'!F84="plain_english"),0,1)</x:f>
        <x:v>0</x:v>
      </x:c>
      <x:c r="D84" s="8" t="n">
        <x:f>IFERROR(IF(AND(OR(LEN('Translation Review'!P84)=21,LEN('Translation Review'!P84)=26),MID('Translation Review'!P84,6,1)="-",MID('Translation Review'!P84,9,1)="-",MID('Translation Review'!P84,12,1)="T",MID('Translation Review'!P84,15,1)=":",MID('Translation Review'!P84,18,1)=":",VALUE(MID('Translation Review'!P84,7,2))&gt;=1,VALUE(MID('Translation Review'!P84,7,2))&lt;=12,VALUE(MID('Translation Review'!P84,10,2))&gt;=1,VALUE(MID('Translation Review'!P84,10,2))&lt;=CHOOSE(VALUE(MID('Translation Review'!P84,7,2)),31,IF(AND(MOD(VALUE(MID('Translation Review'!P84,2,4)),4)=0,OR(MOD(VALUE(MID('Translation Review'!P84,2,4)),100)&lt;&gt;0,MOD(VALUE(MID('Translation Review'!P84,2,4)),400)=0)),29,28),31,30,31,30,31,31,30,31,30,31),VALUE(MID('Translation Review'!P84,13,2))&gt;=0,VALUE(MID('Translation Review'!P84,13,2))&lt;=23,VALUE(MID('Translation Review'!P84,16,2))&gt;=0,VALUE(MID('Translation Review'!P84,16,2))&lt;=59,VALUE(MID('Translation Review'!P84,19,2))&gt;=0,VALUE(MID('Translation Review'!P84,19,2))&lt;=59,OR(AND(LEN('Translation Review'!P84)=21,RIGHT('Translation Review'!P84,1)="Z"),AND(LEN('Translation Review'!P84)=26,OR(MID('Translation Review'!P84,21,1)="+",MID('Translation Review'!P84,21,1)="-"),MID('Translation Review'!P84,24,1)=":",VALUE(MID('Translation Review'!P84,22,2))&gt;=0,VALUE(MID('Translation Review'!P84,22,2))&lt;=23,VALUE(MID('Translation Review'!P84,25,2))&gt;=0,VALUE(MID('Translation Review'!P84,25,2))&lt;=59))),0,1),1)</x:f>
        <x:v>0</x:v>
      </x:c>
      <x:c r="E84" s="8" t="n">
        <x:f>IF(AND(ISNUMBER('Translation Review'!Q84),'Translation Review'!Q84&gt;0,'Translation Review'!Q84=INT('Translation Review'!Q84)),0,1)</x:f>
        <x:v>0</x:v>
      </x:c>
    </x:row>
    <x:row r="85" ht="24" customHeight="1">
      <x:c r="A85" s="8" t="str">
        <x:v>act_harvest_ref_high.02</x:v>
      </x:c>
      <x:c r="B85" s="8" t="n">
        <x:f>IFERROR(IF(REGEXTEST('Translation Review'!E85,"[ก-๙]"),1,0),1)</x:f>
        <x:v>0</x:v>
      </x:c>
      <x:c r="C85" s="8" t="n">
        <x:f>IF(OR('Translation Review'!F85="direct",'Translation Review'!F85="plain_english"),0,1)</x:f>
        <x:v>0</x:v>
      </x:c>
      <x:c r="D85" s="8" t="n">
        <x:f>IFERROR(IF(AND(OR(LEN('Translation Review'!P85)=21,LEN('Translation Review'!P85)=26),MID('Translation Review'!P85,6,1)="-",MID('Translation Review'!P85,9,1)="-",MID('Translation Review'!P85,12,1)="T",MID('Translation Review'!P85,15,1)=":",MID('Translation Review'!P85,18,1)=":",VALUE(MID('Translation Review'!P85,7,2))&gt;=1,VALUE(MID('Translation Review'!P85,7,2))&lt;=12,VALUE(MID('Translation Review'!P85,10,2))&gt;=1,VALUE(MID('Translation Review'!P85,10,2))&lt;=CHOOSE(VALUE(MID('Translation Review'!P85,7,2)),31,IF(AND(MOD(VALUE(MID('Translation Review'!P85,2,4)),4)=0,OR(MOD(VALUE(MID('Translation Review'!P85,2,4)),100)&lt;&gt;0,MOD(VALUE(MID('Translation Review'!P85,2,4)),400)=0)),29,28),31,30,31,30,31,31,30,31,30,31),VALUE(MID('Translation Review'!P85,13,2))&gt;=0,VALUE(MID('Translation Review'!P85,13,2))&lt;=23,VALUE(MID('Translation Review'!P85,16,2))&gt;=0,VALUE(MID('Translation Review'!P85,16,2))&lt;=59,VALUE(MID('Translation Review'!P85,19,2))&gt;=0,VALUE(MID('Translation Review'!P85,19,2))&lt;=59,OR(AND(LEN('Translation Review'!P85)=21,RIGHT('Translation Review'!P85,1)="Z"),AND(LEN('Translation Review'!P85)=26,OR(MID('Translation Review'!P85,21,1)="+",MID('Translation Review'!P85,21,1)="-"),MID('Translation Review'!P85,24,1)=":",VALUE(MID('Translation Review'!P85,22,2))&gt;=0,VALUE(MID('Translation Review'!P85,22,2))&lt;=23,VALUE(MID('Translation Review'!P85,25,2))&gt;=0,VALUE(MID('Translation Review'!P85,25,2))&lt;=59))),0,1),1)</x:f>
        <x:v>0</x:v>
      </x:c>
      <x:c r="E85" s="8" t="n">
        <x:f>IF(AND(ISNUMBER('Translation Review'!Q85),'Translation Review'!Q85&gt;0,'Translation Review'!Q85=INT('Translation Review'!Q85)),0,1)</x:f>
        <x:v>0</x:v>
      </x:c>
    </x:row>
    <x:row r="86" ht="24" customHeight="1">
      <x:c r="A86" s="8" t="str">
        <x:v>act_harvest_ref_high.03</x:v>
      </x:c>
      <x:c r="B86" s="8" t="n">
        <x:f>IFERROR(IF(REGEXTEST('Translation Review'!E86,"[ก-๙]"),1,0),1)</x:f>
        <x:v>0</x:v>
      </x:c>
      <x:c r="C86" s="8" t="n">
        <x:f>IF(OR('Translation Review'!F86="direct",'Translation Review'!F86="plain_english"),0,1)</x:f>
        <x:v>0</x:v>
      </x:c>
      <x:c r="D86" s="8" t="n">
        <x:f>IFERROR(IF(AND(OR(LEN('Translation Review'!P86)=21,LEN('Translation Review'!P86)=26),MID('Translation Review'!P86,6,1)="-",MID('Translation Review'!P86,9,1)="-",MID('Translation Review'!P86,12,1)="T",MID('Translation Review'!P86,15,1)=":",MID('Translation Review'!P86,18,1)=":",VALUE(MID('Translation Review'!P86,7,2))&gt;=1,VALUE(MID('Translation Review'!P86,7,2))&lt;=12,VALUE(MID('Translation Review'!P86,10,2))&gt;=1,VALUE(MID('Translation Review'!P86,10,2))&lt;=CHOOSE(VALUE(MID('Translation Review'!P86,7,2)),31,IF(AND(MOD(VALUE(MID('Translation Review'!P86,2,4)),4)=0,OR(MOD(VALUE(MID('Translation Review'!P86,2,4)),100)&lt;&gt;0,MOD(VALUE(MID('Translation Review'!P86,2,4)),400)=0)),29,28),31,30,31,30,31,31,30,31,30,31),VALUE(MID('Translation Review'!P86,13,2))&gt;=0,VALUE(MID('Translation Review'!P86,13,2))&lt;=23,VALUE(MID('Translation Review'!P86,16,2))&gt;=0,VALUE(MID('Translation Review'!P86,16,2))&lt;=59,VALUE(MID('Translation Review'!P86,19,2))&gt;=0,VALUE(MID('Translation Review'!P86,19,2))&lt;=59,OR(AND(LEN('Translation Review'!P86)=21,RIGHT('Translation Review'!P86,1)="Z"),AND(LEN('Translation Review'!P86)=26,OR(MID('Translation Review'!P86,21,1)="+",MID('Translation Review'!P86,21,1)="-"),MID('Translation Review'!P86,24,1)=":",VALUE(MID('Translation Review'!P86,22,2))&gt;=0,VALUE(MID('Translation Review'!P86,22,2))&lt;=23,VALUE(MID('Translation Review'!P86,25,2))&gt;=0,VALUE(MID('Translation Review'!P86,25,2))&lt;=59))),0,1),1)</x:f>
        <x:v>0</x:v>
      </x:c>
      <x:c r="E86" s="8" t="n">
        <x:f>IF(AND(ISNUMBER('Translation Review'!Q86),'Translation Review'!Q86&gt;0,'Translation Review'!Q86=INT('Translation Review'!Q86)),0,1)</x:f>
        <x:v>0</x:v>
      </x:c>
    </x:row>
    <x:row r="87" ht="24" customHeight="1">
      <x:c r="A87" s="8" t="str">
        <x:v>act_harvest_ref_high.04</x:v>
      </x:c>
      <x:c r="B87" s="8" t="n">
        <x:f>IFERROR(IF(REGEXTEST('Translation Review'!E87,"[ก-๙]"),1,0),1)</x:f>
        <x:v>0</x:v>
      </x:c>
      <x:c r="C87" s="8" t="n">
        <x:f>IF(OR('Translation Review'!F87="direct",'Translation Review'!F87="plain_english"),0,1)</x:f>
        <x:v>0</x:v>
      </x:c>
      <x:c r="D87" s="8" t="n">
        <x:f>IFERROR(IF(AND(OR(LEN('Translation Review'!P87)=21,LEN('Translation Review'!P87)=26),MID('Translation Review'!P87,6,1)="-",MID('Translation Review'!P87,9,1)="-",MID('Translation Review'!P87,12,1)="T",MID('Translation Review'!P87,15,1)=":",MID('Translation Review'!P87,18,1)=":",VALUE(MID('Translation Review'!P87,7,2))&gt;=1,VALUE(MID('Translation Review'!P87,7,2))&lt;=12,VALUE(MID('Translation Review'!P87,10,2))&gt;=1,VALUE(MID('Translation Review'!P87,10,2))&lt;=CHOOSE(VALUE(MID('Translation Review'!P87,7,2)),31,IF(AND(MOD(VALUE(MID('Translation Review'!P87,2,4)),4)=0,OR(MOD(VALUE(MID('Translation Review'!P87,2,4)),100)&lt;&gt;0,MOD(VALUE(MID('Translation Review'!P87,2,4)),400)=0)),29,28),31,30,31,30,31,31,30,31,30,31),VALUE(MID('Translation Review'!P87,13,2))&gt;=0,VALUE(MID('Translation Review'!P87,13,2))&lt;=23,VALUE(MID('Translation Review'!P87,16,2))&gt;=0,VALUE(MID('Translation Review'!P87,16,2))&lt;=59,VALUE(MID('Translation Review'!P87,19,2))&gt;=0,VALUE(MID('Translation Review'!P87,19,2))&lt;=59,OR(AND(LEN('Translation Review'!P87)=21,RIGHT('Translation Review'!P87,1)="Z"),AND(LEN('Translation Review'!P87)=26,OR(MID('Translation Review'!P87,21,1)="+",MID('Translation Review'!P87,21,1)="-"),MID('Translation Review'!P87,24,1)=":",VALUE(MID('Translation Review'!P87,22,2))&gt;=0,VALUE(MID('Translation Review'!P87,22,2))&lt;=23,VALUE(MID('Translation Review'!P87,25,2))&gt;=0,VALUE(MID('Translation Review'!P87,25,2))&lt;=59))),0,1),1)</x:f>
        <x:v>0</x:v>
      </x:c>
      <x:c r="E87" s="8" t="n">
        <x:f>IF(AND(ISNUMBER('Translation Review'!Q87),'Translation Review'!Q87&gt;0,'Translation Review'!Q87=INT('Translation Review'!Q87)),0,1)</x:f>
        <x:v>0</x:v>
      </x:c>
    </x:row>
    <x:row r="88" ht="24" customHeight="1">
      <x:c r="A88" s="8" t="str">
        <x:v>act_harvest_ref_low.01</x:v>
      </x:c>
      <x:c r="B88" s="8" t="n">
        <x:f>IFERROR(IF(REGEXTEST('Translation Review'!E88,"[ก-๙]"),1,0),1)</x:f>
        <x:v>0</x:v>
      </x:c>
      <x:c r="C88" s="8" t="n">
        <x:f>IF(OR('Translation Review'!F88="direct",'Translation Review'!F88="plain_english"),0,1)</x:f>
        <x:v>0</x:v>
      </x:c>
      <x:c r="D88" s="8" t="n">
        <x:f>IFERROR(IF(AND(OR(LEN('Translation Review'!P88)=21,LEN('Translation Review'!P88)=26),MID('Translation Review'!P88,6,1)="-",MID('Translation Review'!P88,9,1)="-",MID('Translation Review'!P88,12,1)="T",MID('Translation Review'!P88,15,1)=":",MID('Translation Review'!P88,18,1)=":",VALUE(MID('Translation Review'!P88,7,2))&gt;=1,VALUE(MID('Translation Review'!P88,7,2))&lt;=12,VALUE(MID('Translation Review'!P88,10,2))&gt;=1,VALUE(MID('Translation Review'!P88,10,2))&lt;=CHOOSE(VALUE(MID('Translation Review'!P88,7,2)),31,IF(AND(MOD(VALUE(MID('Translation Review'!P88,2,4)),4)=0,OR(MOD(VALUE(MID('Translation Review'!P88,2,4)),100)&lt;&gt;0,MOD(VALUE(MID('Translation Review'!P88,2,4)),400)=0)),29,28),31,30,31,30,31,31,30,31,30,31),VALUE(MID('Translation Review'!P88,13,2))&gt;=0,VALUE(MID('Translation Review'!P88,13,2))&lt;=23,VALUE(MID('Translation Review'!P88,16,2))&gt;=0,VALUE(MID('Translation Review'!P88,16,2))&lt;=59,VALUE(MID('Translation Review'!P88,19,2))&gt;=0,VALUE(MID('Translation Review'!P88,19,2))&lt;=59,OR(AND(LEN('Translation Review'!P88)=21,RIGHT('Translation Review'!P88,1)="Z"),AND(LEN('Translation Review'!P88)=26,OR(MID('Translation Review'!P88,21,1)="+",MID('Translation Review'!P88,21,1)="-"),MID('Translation Review'!P88,24,1)=":",VALUE(MID('Translation Review'!P88,22,2))&gt;=0,VALUE(MID('Translation Review'!P88,22,2))&lt;=23,VALUE(MID('Translation Review'!P88,25,2))&gt;=0,VALUE(MID('Translation Review'!P88,25,2))&lt;=59))),0,1),1)</x:f>
        <x:v>0</x:v>
      </x:c>
      <x:c r="E88" s="8" t="n">
        <x:f>IF(AND(ISNUMBER('Translation Review'!Q88),'Translation Review'!Q88&gt;0,'Translation Review'!Q88=INT('Translation Review'!Q88)),0,1)</x:f>
        <x:v>0</x:v>
      </x:c>
    </x:row>
    <x:row r="89" ht="24" customHeight="1">
      <x:c r="A89" s="8" t="str">
        <x:v>act_harvest_ref_low.02</x:v>
      </x:c>
      <x:c r="B89" s="8" t="n">
        <x:f>IFERROR(IF(REGEXTEST('Translation Review'!E89,"[ก-๙]"),1,0),1)</x:f>
        <x:v>0</x:v>
      </x:c>
      <x:c r="C89" s="8" t="n">
        <x:f>IF(OR('Translation Review'!F89="direct",'Translation Review'!F89="plain_english"),0,1)</x:f>
        <x:v>0</x:v>
      </x:c>
      <x:c r="D89" s="8" t="n">
        <x:f>IFERROR(IF(AND(OR(LEN('Translation Review'!P89)=21,LEN('Translation Review'!P89)=26),MID('Translation Review'!P89,6,1)="-",MID('Translation Review'!P89,9,1)="-",MID('Translation Review'!P89,12,1)="T",MID('Translation Review'!P89,15,1)=":",MID('Translation Review'!P89,18,1)=":",VALUE(MID('Translation Review'!P89,7,2))&gt;=1,VALUE(MID('Translation Review'!P89,7,2))&lt;=12,VALUE(MID('Translation Review'!P89,10,2))&gt;=1,VALUE(MID('Translation Review'!P89,10,2))&lt;=CHOOSE(VALUE(MID('Translation Review'!P89,7,2)),31,IF(AND(MOD(VALUE(MID('Translation Review'!P89,2,4)),4)=0,OR(MOD(VALUE(MID('Translation Review'!P89,2,4)),100)&lt;&gt;0,MOD(VALUE(MID('Translation Review'!P89,2,4)),400)=0)),29,28),31,30,31,30,31,31,30,31,30,31),VALUE(MID('Translation Review'!P89,13,2))&gt;=0,VALUE(MID('Translation Review'!P89,13,2))&lt;=23,VALUE(MID('Translation Review'!P89,16,2))&gt;=0,VALUE(MID('Translation Review'!P89,16,2))&lt;=59,VALUE(MID('Translation Review'!P89,19,2))&gt;=0,VALUE(MID('Translation Review'!P89,19,2))&lt;=59,OR(AND(LEN('Translation Review'!P89)=21,RIGHT('Translation Review'!P89,1)="Z"),AND(LEN('Translation Review'!P89)=26,OR(MID('Translation Review'!P89,21,1)="+",MID('Translation Review'!P89,21,1)="-"),MID('Translation Review'!P89,24,1)=":",VALUE(MID('Translation Review'!P89,22,2))&gt;=0,VALUE(MID('Translation Review'!P89,22,2))&lt;=23,VALUE(MID('Translation Review'!P89,25,2))&gt;=0,VALUE(MID('Translation Review'!P89,25,2))&lt;=59))),0,1),1)</x:f>
        <x:v>0</x:v>
      </x:c>
      <x:c r="E89" s="8" t="n">
        <x:f>IF(AND(ISNUMBER('Translation Review'!Q89),'Translation Review'!Q89&gt;0,'Translation Review'!Q89=INT('Translation Review'!Q89)),0,1)</x:f>
        <x:v>0</x:v>
      </x:c>
    </x:row>
    <x:row r="90" ht="24" customHeight="1">
      <x:c r="A90" s="8" t="str">
        <x:v>act_harvest_ref_medium.01</x:v>
      </x:c>
      <x:c r="B90" s="8" t="n">
        <x:f>IFERROR(IF(REGEXTEST('Translation Review'!E90,"[ก-๙]"),1,0),1)</x:f>
        <x:v>0</x:v>
      </x:c>
      <x:c r="C90" s="8" t="n">
        <x:f>IF(OR('Translation Review'!F90="direct",'Translation Review'!F90="plain_english"),0,1)</x:f>
        <x:v>0</x:v>
      </x:c>
      <x:c r="D90" s="8" t="n">
        <x:f>IFERROR(IF(AND(OR(LEN('Translation Review'!P90)=21,LEN('Translation Review'!P90)=26),MID('Translation Review'!P90,6,1)="-",MID('Translation Review'!P90,9,1)="-",MID('Translation Review'!P90,12,1)="T",MID('Translation Review'!P90,15,1)=":",MID('Translation Review'!P90,18,1)=":",VALUE(MID('Translation Review'!P90,7,2))&gt;=1,VALUE(MID('Translation Review'!P90,7,2))&lt;=12,VALUE(MID('Translation Review'!P90,10,2))&gt;=1,VALUE(MID('Translation Review'!P90,10,2))&lt;=CHOOSE(VALUE(MID('Translation Review'!P90,7,2)),31,IF(AND(MOD(VALUE(MID('Translation Review'!P90,2,4)),4)=0,OR(MOD(VALUE(MID('Translation Review'!P90,2,4)),100)&lt;&gt;0,MOD(VALUE(MID('Translation Review'!P90,2,4)),400)=0)),29,28),31,30,31,30,31,31,30,31,30,31),VALUE(MID('Translation Review'!P90,13,2))&gt;=0,VALUE(MID('Translation Review'!P90,13,2))&lt;=23,VALUE(MID('Translation Review'!P90,16,2))&gt;=0,VALUE(MID('Translation Review'!P90,16,2))&lt;=59,VALUE(MID('Translation Review'!P90,19,2))&gt;=0,VALUE(MID('Translation Review'!P90,19,2))&lt;=59,OR(AND(LEN('Translation Review'!P90)=21,RIGHT('Translation Review'!P90,1)="Z"),AND(LEN('Translation Review'!P90)=26,OR(MID('Translation Review'!P90,21,1)="+",MID('Translation Review'!P90,21,1)="-"),MID('Translation Review'!P90,24,1)=":",VALUE(MID('Translation Review'!P90,22,2))&gt;=0,VALUE(MID('Translation Review'!P90,22,2))&lt;=23,VALUE(MID('Translation Review'!P90,25,2))&gt;=0,VALUE(MID('Translation Review'!P90,25,2))&lt;=59))),0,1),1)</x:f>
        <x:v>0</x:v>
      </x:c>
      <x:c r="E90" s="8" t="n">
        <x:f>IF(AND(ISNUMBER('Translation Review'!Q90),'Translation Review'!Q90&gt;0,'Translation Review'!Q90=INT('Translation Review'!Q90)),0,1)</x:f>
        <x:v>0</x:v>
      </x:c>
    </x:row>
    <x:row r="91" ht="24" customHeight="1">
      <x:c r="A91" s="8" t="str">
        <x:v>act_harvest_ref_medium.02</x:v>
      </x:c>
      <x:c r="B91" s="8" t="n">
        <x:f>IFERROR(IF(REGEXTEST('Translation Review'!E91,"[ก-๙]"),1,0),1)</x:f>
        <x:v>0</x:v>
      </x:c>
      <x:c r="C91" s="8" t="n">
        <x:f>IF(OR('Translation Review'!F91="direct",'Translation Review'!F91="plain_english"),0,1)</x:f>
        <x:v>0</x:v>
      </x:c>
      <x:c r="D91" s="8" t="n">
        <x:f>IFERROR(IF(AND(OR(LEN('Translation Review'!P91)=21,LEN('Translation Review'!P91)=26),MID('Translation Review'!P91,6,1)="-",MID('Translation Review'!P91,9,1)="-",MID('Translation Review'!P91,12,1)="T",MID('Translation Review'!P91,15,1)=":",MID('Translation Review'!P91,18,1)=":",VALUE(MID('Translation Review'!P91,7,2))&gt;=1,VALUE(MID('Translation Review'!P91,7,2))&lt;=12,VALUE(MID('Translation Review'!P91,10,2))&gt;=1,VALUE(MID('Translation Review'!P91,10,2))&lt;=CHOOSE(VALUE(MID('Translation Review'!P91,7,2)),31,IF(AND(MOD(VALUE(MID('Translation Review'!P91,2,4)),4)=0,OR(MOD(VALUE(MID('Translation Review'!P91,2,4)),100)&lt;&gt;0,MOD(VALUE(MID('Translation Review'!P91,2,4)),400)=0)),29,28),31,30,31,30,31,31,30,31,30,31),VALUE(MID('Translation Review'!P91,13,2))&gt;=0,VALUE(MID('Translation Review'!P91,13,2))&lt;=23,VALUE(MID('Translation Review'!P91,16,2))&gt;=0,VALUE(MID('Translation Review'!P91,16,2))&lt;=59,VALUE(MID('Translation Review'!P91,19,2))&gt;=0,VALUE(MID('Translation Review'!P91,19,2))&lt;=59,OR(AND(LEN('Translation Review'!P91)=21,RIGHT('Translation Review'!P91,1)="Z"),AND(LEN('Translation Review'!P91)=26,OR(MID('Translation Review'!P91,21,1)="+",MID('Translation Review'!P91,21,1)="-"),MID('Translation Review'!P91,24,1)=":",VALUE(MID('Translation Review'!P91,22,2))&gt;=0,VALUE(MID('Translation Review'!P91,22,2))&lt;=23,VALUE(MID('Translation Review'!P91,25,2))&gt;=0,VALUE(MID('Translation Review'!P91,25,2))&lt;=59))),0,1),1)</x:f>
        <x:v>0</x:v>
      </x:c>
      <x:c r="E91" s="8" t="n">
        <x:f>IF(AND(ISNUMBER('Translation Review'!Q91),'Translation Review'!Q91&gt;0,'Translation Review'!Q91=INT('Translation Review'!Q91)),0,1)</x:f>
        <x:v>0</x:v>
      </x:c>
    </x:row>
    <x:row r="92" ht="24" customHeight="1">
      <x:c r="A92" s="8" t="str">
        <x:v>act_harvest_ref_medium.03</x:v>
      </x:c>
      <x:c r="B92" s="8" t="n">
        <x:f>IFERROR(IF(REGEXTEST('Translation Review'!E92,"[ก-๙]"),1,0),1)</x:f>
        <x:v>0</x:v>
      </x:c>
      <x:c r="C92" s="8" t="n">
        <x:f>IF(OR('Translation Review'!F92="direct",'Translation Review'!F92="plain_english"),0,1)</x:f>
        <x:v>0</x:v>
      </x:c>
      <x:c r="D92" s="8" t="n">
        <x:f>IFERROR(IF(AND(OR(LEN('Translation Review'!P92)=21,LEN('Translation Review'!P92)=26),MID('Translation Review'!P92,6,1)="-",MID('Translation Review'!P92,9,1)="-",MID('Translation Review'!P92,12,1)="T",MID('Translation Review'!P92,15,1)=":",MID('Translation Review'!P92,18,1)=":",VALUE(MID('Translation Review'!P92,7,2))&gt;=1,VALUE(MID('Translation Review'!P92,7,2))&lt;=12,VALUE(MID('Translation Review'!P92,10,2))&gt;=1,VALUE(MID('Translation Review'!P92,10,2))&lt;=CHOOSE(VALUE(MID('Translation Review'!P92,7,2)),31,IF(AND(MOD(VALUE(MID('Translation Review'!P92,2,4)),4)=0,OR(MOD(VALUE(MID('Translation Review'!P92,2,4)),100)&lt;&gt;0,MOD(VALUE(MID('Translation Review'!P92,2,4)),400)=0)),29,28),31,30,31,30,31,31,30,31,30,31),VALUE(MID('Translation Review'!P92,13,2))&gt;=0,VALUE(MID('Translation Review'!P92,13,2))&lt;=23,VALUE(MID('Translation Review'!P92,16,2))&gt;=0,VALUE(MID('Translation Review'!P92,16,2))&lt;=59,VALUE(MID('Translation Review'!P92,19,2))&gt;=0,VALUE(MID('Translation Review'!P92,19,2))&lt;=59,OR(AND(LEN('Translation Review'!P92)=21,RIGHT('Translation Review'!P92,1)="Z"),AND(LEN('Translation Review'!P92)=26,OR(MID('Translation Review'!P92,21,1)="+",MID('Translation Review'!P92,21,1)="-"),MID('Translation Review'!P92,24,1)=":",VALUE(MID('Translation Review'!P92,22,2))&gt;=0,VALUE(MID('Translation Review'!P92,22,2))&lt;=23,VALUE(MID('Translation Review'!P92,25,2))&gt;=0,VALUE(MID('Translation Review'!P92,25,2))&lt;=59))),0,1),1)</x:f>
        <x:v>0</x:v>
      </x:c>
      <x:c r="E92" s="8" t="n">
        <x:f>IF(AND(ISNUMBER('Translation Review'!Q92),'Translation Review'!Q92&gt;0,'Translation Review'!Q92=INT('Translation Review'!Q92)),0,1)</x:f>
        <x:v>0</x:v>
      </x:c>
    </x:row>
    <x:row r="93" ht="24" customHeight="1">
      <x:c r="A93" s="8" t="str">
        <x:v>act_harvest_ref_medium.04</x:v>
      </x:c>
      <x:c r="B93" s="8" t="n">
        <x:f>IFERROR(IF(REGEXTEST('Translation Review'!E93,"[ก-๙]"),1,0),1)</x:f>
        <x:v>0</x:v>
      </x:c>
      <x:c r="C93" s="8" t="n">
        <x:f>IF(OR('Translation Review'!F93="direct",'Translation Review'!F93="plain_english"),0,1)</x:f>
        <x:v>0</x:v>
      </x:c>
      <x:c r="D93" s="8" t="n">
        <x:f>IFERROR(IF(AND(OR(LEN('Translation Review'!P93)=21,LEN('Translation Review'!P93)=26),MID('Translation Review'!P93,6,1)="-",MID('Translation Review'!P93,9,1)="-",MID('Translation Review'!P93,12,1)="T",MID('Translation Review'!P93,15,1)=":",MID('Translation Review'!P93,18,1)=":",VALUE(MID('Translation Review'!P93,7,2))&gt;=1,VALUE(MID('Translation Review'!P93,7,2))&lt;=12,VALUE(MID('Translation Review'!P93,10,2))&gt;=1,VALUE(MID('Translation Review'!P93,10,2))&lt;=CHOOSE(VALUE(MID('Translation Review'!P93,7,2)),31,IF(AND(MOD(VALUE(MID('Translation Review'!P93,2,4)),4)=0,OR(MOD(VALUE(MID('Translation Review'!P93,2,4)),100)&lt;&gt;0,MOD(VALUE(MID('Translation Review'!P93,2,4)),400)=0)),29,28),31,30,31,30,31,31,30,31,30,31),VALUE(MID('Translation Review'!P93,13,2))&gt;=0,VALUE(MID('Translation Review'!P93,13,2))&lt;=23,VALUE(MID('Translation Review'!P93,16,2))&gt;=0,VALUE(MID('Translation Review'!P93,16,2))&lt;=59,VALUE(MID('Translation Review'!P93,19,2))&gt;=0,VALUE(MID('Translation Review'!P93,19,2))&lt;=59,OR(AND(LEN('Translation Review'!P93)=21,RIGHT('Translation Review'!P93,1)="Z"),AND(LEN('Translation Review'!P93)=26,OR(MID('Translation Review'!P93,21,1)="+",MID('Translation Review'!P93,21,1)="-"),MID('Translation Review'!P93,24,1)=":",VALUE(MID('Translation Review'!P93,22,2))&gt;=0,VALUE(MID('Translation Review'!P93,22,2))&lt;=23,VALUE(MID('Translation Review'!P93,25,2))&gt;=0,VALUE(MID('Translation Review'!P93,25,2))&lt;=59))),0,1),1)</x:f>
        <x:v>0</x:v>
      </x:c>
      <x:c r="E93" s="8" t="n">
        <x:f>IF(AND(ISNUMBER('Translation Review'!Q93),'Translation Review'!Q93&gt;0,'Translation Review'!Q93=INT('Translation Review'!Q93)),0,1)</x:f>
        <x:v>0</x:v>
      </x:c>
    </x:row>
    <x:row r="94" ht="24" customHeight="1">
      <x:c r="A94" s="8" t="str">
        <x:v>act_iso_floor_level.01</x:v>
      </x:c>
      <x:c r="B94" s="8" t="n">
        <x:f>IFERROR(IF(REGEXTEST('Translation Review'!E94,"[ก-๙]"),1,0),1)</x:f>
        <x:v>0</x:v>
      </x:c>
      <x:c r="C94" s="8" t="n">
        <x:f>IF(OR('Translation Review'!F94="direct",'Translation Review'!F94="plain_english"),0,1)</x:f>
        <x:v>0</x:v>
      </x:c>
      <x:c r="D94" s="8" t="n">
        <x:f>IFERROR(IF(AND(OR(LEN('Translation Review'!P94)=21,LEN('Translation Review'!P94)=26),MID('Translation Review'!P94,6,1)="-",MID('Translation Review'!P94,9,1)="-",MID('Translation Review'!P94,12,1)="T",MID('Translation Review'!P94,15,1)=":",MID('Translation Review'!P94,18,1)=":",VALUE(MID('Translation Review'!P94,7,2))&gt;=1,VALUE(MID('Translation Review'!P94,7,2))&lt;=12,VALUE(MID('Translation Review'!P94,10,2))&gt;=1,VALUE(MID('Translation Review'!P94,10,2))&lt;=CHOOSE(VALUE(MID('Translation Review'!P94,7,2)),31,IF(AND(MOD(VALUE(MID('Translation Review'!P94,2,4)),4)=0,OR(MOD(VALUE(MID('Translation Review'!P94,2,4)),100)&lt;&gt;0,MOD(VALUE(MID('Translation Review'!P94,2,4)),400)=0)),29,28),31,30,31,30,31,31,30,31,30,31),VALUE(MID('Translation Review'!P94,13,2))&gt;=0,VALUE(MID('Translation Review'!P94,13,2))&lt;=23,VALUE(MID('Translation Review'!P94,16,2))&gt;=0,VALUE(MID('Translation Review'!P94,16,2))&lt;=59,VALUE(MID('Translation Review'!P94,19,2))&gt;=0,VALUE(MID('Translation Review'!P94,19,2))&lt;=59,OR(AND(LEN('Translation Review'!P94)=21,RIGHT('Translation Review'!P94,1)="Z"),AND(LEN('Translation Review'!P94)=26,OR(MID('Translation Review'!P94,21,1)="+",MID('Translation Review'!P94,21,1)="-"),MID('Translation Review'!P94,24,1)=":",VALUE(MID('Translation Review'!P94,22,2))&gt;=0,VALUE(MID('Translation Review'!P94,22,2))&lt;=23,VALUE(MID('Translation Review'!P94,25,2))&gt;=0,VALUE(MID('Translation Review'!P94,25,2))&lt;=59))),0,1),1)</x:f>
        <x:v>0</x:v>
      </x:c>
      <x:c r="E94" s="8" t="n">
        <x:f>IF(AND(ISNUMBER('Translation Review'!Q94),'Translation Review'!Q94&gt;0,'Translation Review'!Q94=INT('Translation Review'!Q94)),0,1)</x:f>
        <x:v>0</x:v>
      </x:c>
    </x:row>
    <x:row r="95" ht="24" customHeight="1">
      <x:c r="A95" s="8" t="str">
        <x:v>act_iso_improve_grip.01</x:v>
      </x:c>
      <x:c r="B95" s="8" t="n">
        <x:f>IFERROR(IF(REGEXTEST('Translation Review'!E95,"[ก-๙]"),1,0),1)</x:f>
        <x:v>0</x:v>
      </x:c>
      <x:c r="C95" s="8" t="n">
        <x:f>IF(OR('Translation Review'!F95="direct",'Translation Review'!F95="plain_english"),0,1)</x:f>
        <x:v>0</x:v>
      </x:c>
      <x:c r="D95" s="8" t="n">
        <x:f>IFERROR(IF(AND(OR(LEN('Translation Review'!P95)=21,LEN('Translation Review'!P95)=26),MID('Translation Review'!P95,6,1)="-",MID('Translation Review'!P95,9,1)="-",MID('Translation Review'!P95,12,1)="T",MID('Translation Review'!P95,15,1)=":",MID('Translation Review'!P95,18,1)=":",VALUE(MID('Translation Review'!P95,7,2))&gt;=1,VALUE(MID('Translation Review'!P95,7,2))&lt;=12,VALUE(MID('Translation Review'!P95,10,2))&gt;=1,VALUE(MID('Translation Review'!P95,10,2))&lt;=CHOOSE(VALUE(MID('Translation Review'!P95,7,2)),31,IF(AND(MOD(VALUE(MID('Translation Review'!P95,2,4)),4)=0,OR(MOD(VALUE(MID('Translation Review'!P95,2,4)),100)&lt;&gt;0,MOD(VALUE(MID('Translation Review'!P95,2,4)),400)=0)),29,28),31,30,31,30,31,31,30,31,30,31),VALUE(MID('Translation Review'!P95,13,2))&gt;=0,VALUE(MID('Translation Review'!P95,13,2))&lt;=23,VALUE(MID('Translation Review'!P95,16,2))&gt;=0,VALUE(MID('Translation Review'!P95,16,2))&lt;=59,VALUE(MID('Translation Review'!P95,19,2))&gt;=0,VALUE(MID('Translation Review'!P95,19,2))&lt;=59,OR(AND(LEN('Translation Review'!P95)=21,RIGHT('Translation Review'!P95,1)="Z"),AND(LEN('Translation Review'!P95)=26,OR(MID('Translation Review'!P95,21,1)="+",MID('Translation Review'!P95,21,1)="-"),MID('Translation Review'!P95,24,1)=":",VALUE(MID('Translation Review'!P95,22,2))&gt;=0,VALUE(MID('Translation Review'!P95,22,2))&lt;=23,VALUE(MID('Translation Review'!P95,25,2))&gt;=0,VALUE(MID('Translation Review'!P95,25,2))&lt;=59))),0,1),1)</x:f>
        <x:v>0</x:v>
      </x:c>
      <x:c r="E95" s="8" t="n">
        <x:f>IF(AND(ISNUMBER('Translation Review'!Q95),'Translation Review'!Q95&gt;0,'Translation Review'!Q95=INT('Translation Review'!Q95)),0,1)</x:f>
        <x:v>0</x:v>
      </x:c>
    </x:row>
    <x:row r="96" ht="24" customHeight="1">
      <x:c r="A96" s="8" t="str">
        <x:v>act_iso_job_rotation.01</x:v>
      </x:c>
      <x:c r="B96" s="8" t="n">
        <x:f>IFERROR(IF(REGEXTEST('Translation Review'!E96,"[ก-๙]"),1,0),1)</x:f>
        <x:v>0</x:v>
      </x:c>
      <x:c r="C96" s="8" t="n">
        <x:f>IF(OR('Translation Review'!F96="direct",'Translation Review'!F96="plain_english"),0,1)</x:f>
        <x:v>0</x:v>
      </x:c>
      <x:c r="D96" s="8" t="n">
        <x:f>IFERROR(IF(AND(OR(LEN('Translation Review'!P96)=21,LEN('Translation Review'!P96)=26),MID('Translation Review'!P96,6,1)="-",MID('Translation Review'!P96,9,1)="-",MID('Translation Review'!P96,12,1)="T",MID('Translation Review'!P96,15,1)=":",MID('Translation Review'!P96,18,1)=":",VALUE(MID('Translation Review'!P96,7,2))&gt;=1,VALUE(MID('Translation Review'!P96,7,2))&lt;=12,VALUE(MID('Translation Review'!P96,10,2))&gt;=1,VALUE(MID('Translation Review'!P96,10,2))&lt;=CHOOSE(VALUE(MID('Translation Review'!P96,7,2)),31,IF(AND(MOD(VALUE(MID('Translation Review'!P96,2,4)),4)=0,OR(MOD(VALUE(MID('Translation Review'!P96,2,4)),100)&lt;&gt;0,MOD(VALUE(MID('Translation Review'!P96,2,4)),400)=0)),29,28),31,30,31,30,31,31,30,31,30,31),VALUE(MID('Translation Review'!P96,13,2))&gt;=0,VALUE(MID('Translation Review'!P96,13,2))&lt;=23,VALUE(MID('Translation Review'!P96,16,2))&gt;=0,VALUE(MID('Translation Review'!P96,16,2))&lt;=59,VALUE(MID('Translation Review'!P96,19,2))&gt;=0,VALUE(MID('Translation Review'!P96,19,2))&lt;=59,OR(AND(LEN('Translation Review'!P96)=21,RIGHT('Translation Review'!P96,1)="Z"),AND(LEN('Translation Review'!P96)=26,OR(MID('Translation Review'!P96,21,1)="+",MID('Translation Review'!P96,21,1)="-"),MID('Translation Review'!P96,24,1)=":",VALUE(MID('Translation Review'!P96,22,2))&gt;=0,VALUE(MID('Translation Review'!P96,22,2))&lt;=23,VALUE(MID('Translation Review'!P96,25,2))&gt;=0,VALUE(MID('Translation Review'!P96,25,2))&lt;=59))),0,1),1)</x:f>
        <x:v>0</x:v>
      </x:c>
      <x:c r="E96" s="8" t="n">
        <x:f>IF(AND(ISNUMBER('Translation Review'!Q96),'Translation Review'!Q96&gt;0,'Translation Review'!Q96=INT('Translation Review'!Q96)),0,1)</x:f>
        <x:v>0</x:v>
      </x:c>
    </x:row>
    <x:row r="97" ht="24" customHeight="1">
      <x:c r="A97" s="8" t="str">
        <x:v>act_iso_keep_load_close.01</x:v>
      </x:c>
      <x:c r="B97" s="8" t="n">
        <x:f>IFERROR(IF(REGEXTEST('Translation Review'!E97,"[ก-๙]"),1,0),1)</x:f>
        <x:v>0</x:v>
      </x:c>
      <x:c r="C97" s="8" t="n">
        <x:f>IF(OR('Translation Review'!F97="direct",'Translation Review'!F97="plain_english"),0,1)</x:f>
        <x:v>0</x:v>
      </x:c>
      <x:c r="D97" s="8" t="n">
        <x:f>IFERROR(IF(AND(OR(LEN('Translation Review'!P97)=21,LEN('Translation Review'!P97)=26),MID('Translation Review'!P97,6,1)="-",MID('Translation Review'!P97,9,1)="-",MID('Translation Review'!P97,12,1)="T",MID('Translation Review'!P97,15,1)=":",MID('Translation Review'!P97,18,1)=":",VALUE(MID('Translation Review'!P97,7,2))&gt;=1,VALUE(MID('Translation Review'!P97,7,2))&lt;=12,VALUE(MID('Translation Review'!P97,10,2))&gt;=1,VALUE(MID('Translation Review'!P97,10,2))&lt;=CHOOSE(VALUE(MID('Translation Review'!P97,7,2)),31,IF(AND(MOD(VALUE(MID('Translation Review'!P97,2,4)),4)=0,OR(MOD(VALUE(MID('Translation Review'!P97,2,4)),100)&lt;&gt;0,MOD(VALUE(MID('Translation Review'!P97,2,4)),400)=0)),29,28),31,30,31,30,31,31,30,31,30,31),VALUE(MID('Translation Review'!P97,13,2))&gt;=0,VALUE(MID('Translation Review'!P97,13,2))&lt;=23,VALUE(MID('Translation Review'!P97,16,2))&gt;=0,VALUE(MID('Translation Review'!P97,16,2))&lt;=59,VALUE(MID('Translation Review'!P97,19,2))&gt;=0,VALUE(MID('Translation Review'!P97,19,2))&lt;=59,OR(AND(LEN('Translation Review'!P97)=21,RIGHT('Translation Review'!P97,1)="Z"),AND(LEN('Translation Review'!P97)=26,OR(MID('Translation Review'!P97,21,1)="+",MID('Translation Review'!P97,21,1)="-"),MID('Translation Review'!P97,24,1)=":",VALUE(MID('Translation Review'!P97,22,2))&gt;=0,VALUE(MID('Translation Review'!P97,22,2))&lt;=23,VALUE(MID('Translation Review'!P97,25,2))&gt;=0,VALUE(MID('Translation Review'!P97,25,2))&lt;=59))),0,1),1)</x:f>
        <x:v>0</x:v>
      </x:c>
      <x:c r="E97" s="8" t="n">
        <x:f>IF(AND(ISNUMBER('Translation Review'!Q97),'Translation Review'!Q97&gt;0,'Translation Review'!Q97=INT('Translation Review'!Q97)),0,1)</x:f>
        <x:v>0</x:v>
      </x:c>
    </x:row>
    <x:row r="98" ht="24" customHeight="1">
      <x:c r="A98" s="8" t="str">
        <x:v>act_iso_lift_height.01</x:v>
      </x:c>
      <x:c r="B98" s="8" t="n">
        <x:f>IFERROR(IF(REGEXTEST('Translation Review'!E98,"[ก-๙]"),1,0),1)</x:f>
        <x:v>0</x:v>
      </x:c>
      <x:c r="C98" s="8" t="n">
        <x:f>IF(OR('Translation Review'!F98="direct",'Translation Review'!F98="plain_english"),0,1)</x:f>
        <x:v>0</x:v>
      </x:c>
      <x:c r="D98" s="8" t="n">
        <x:f>IFERROR(IF(AND(OR(LEN('Translation Review'!P98)=21,LEN('Translation Review'!P98)=26),MID('Translation Review'!P98,6,1)="-",MID('Translation Review'!P98,9,1)="-",MID('Translation Review'!P98,12,1)="T",MID('Translation Review'!P98,15,1)=":",MID('Translation Review'!P98,18,1)=":",VALUE(MID('Translation Review'!P98,7,2))&gt;=1,VALUE(MID('Translation Review'!P98,7,2))&lt;=12,VALUE(MID('Translation Review'!P98,10,2))&gt;=1,VALUE(MID('Translation Review'!P98,10,2))&lt;=CHOOSE(VALUE(MID('Translation Review'!P98,7,2)),31,IF(AND(MOD(VALUE(MID('Translation Review'!P98,2,4)),4)=0,OR(MOD(VALUE(MID('Translation Review'!P98,2,4)),100)&lt;&gt;0,MOD(VALUE(MID('Translation Review'!P98,2,4)),400)=0)),29,28),31,30,31,30,31,31,30,31,30,31),VALUE(MID('Translation Review'!P98,13,2))&gt;=0,VALUE(MID('Translation Review'!P98,13,2))&lt;=23,VALUE(MID('Translation Review'!P98,16,2))&gt;=0,VALUE(MID('Translation Review'!P98,16,2))&lt;=59,VALUE(MID('Translation Review'!P98,19,2))&gt;=0,VALUE(MID('Translation Review'!P98,19,2))&lt;=59,OR(AND(LEN('Translation Review'!P98)=21,RIGHT('Translation Review'!P98,1)="Z"),AND(LEN('Translation Review'!P98)=26,OR(MID('Translation Review'!P98,21,1)="+",MID('Translation Review'!P98,21,1)="-"),MID('Translation Review'!P98,24,1)=":",VALUE(MID('Translation Review'!P98,22,2))&gt;=0,VALUE(MID('Translation Review'!P98,22,2))&lt;=23,VALUE(MID('Translation Review'!P98,25,2))&gt;=0,VALUE(MID('Translation Review'!P98,25,2))&lt;=59))),0,1),1)</x:f>
        <x:v>0</x:v>
      </x:c>
      <x:c r="E98" s="8" t="n">
        <x:f>IF(AND(ISNUMBER('Translation Review'!Q98),'Translation Review'!Q98&gt;0,'Translation Review'!Q98=INT('Translation Review'!Q98)),0,1)</x:f>
        <x:v>0</x:v>
      </x:c>
    </x:row>
    <x:row r="99" ht="24" customHeight="1">
      <x:c r="A99" s="8" t="str">
        <x:v>act_iso_neutral_reach.01</x:v>
      </x:c>
      <x:c r="B99" s="8" t="n">
        <x:f>IFERROR(IF(REGEXTEST('Translation Review'!E99,"[ก-๙]"),1,0),1)</x:f>
        <x:v>0</x:v>
      </x:c>
      <x:c r="C99" s="8" t="n">
        <x:f>IF(OR('Translation Review'!F99="direct",'Translation Review'!F99="plain_english"),0,1)</x:f>
        <x:v>0</x:v>
      </x:c>
      <x:c r="D99" s="8" t="n">
        <x:f>IFERROR(IF(AND(OR(LEN('Translation Review'!P99)=21,LEN('Translation Review'!P99)=26),MID('Translation Review'!P99,6,1)="-",MID('Translation Review'!P99,9,1)="-",MID('Translation Review'!P99,12,1)="T",MID('Translation Review'!P99,15,1)=":",MID('Translation Review'!P99,18,1)=":",VALUE(MID('Translation Review'!P99,7,2))&gt;=1,VALUE(MID('Translation Review'!P99,7,2))&lt;=12,VALUE(MID('Translation Review'!P99,10,2))&gt;=1,VALUE(MID('Translation Review'!P99,10,2))&lt;=CHOOSE(VALUE(MID('Translation Review'!P99,7,2)),31,IF(AND(MOD(VALUE(MID('Translation Review'!P99,2,4)),4)=0,OR(MOD(VALUE(MID('Translation Review'!P99,2,4)),100)&lt;&gt;0,MOD(VALUE(MID('Translation Review'!P99,2,4)),400)=0)),29,28),31,30,31,30,31,31,30,31,30,31),VALUE(MID('Translation Review'!P99,13,2))&gt;=0,VALUE(MID('Translation Review'!P99,13,2))&lt;=23,VALUE(MID('Translation Review'!P99,16,2))&gt;=0,VALUE(MID('Translation Review'!P99,16,2))&lt;=59,VALUE(MID('Translation Review'!P99,19,2))&gt;=0,VALUE(MID('Translation Review'!P99,19,2))&lt;=59,OR(AND(LEN('Translation Review'!P99)=21,RIGHT('Translation Review'!P99,1)="Z"),AND(LEN('Translation Review'!P99)=26,OR(MID('Translation Review'!P99,21,1)="+",MID('Translation Review'!P99,21,1)="-"),MID('Translation Review'!P99,24,1)=":",VALUE(MID('Translation Review'!P99,22,2))&gt;=0,VALUE(MID('Translation Review'!P99,22,2))&lt;=23,VALUE(MID('Translation Review'!P99,25,2))&gt;=0,VALUE(MID('Translation Review'!P99,25,2))&lt;=59))),0,1),1)</x:f>
        <x:v>0</x:v>
      </x:c>
      <x:c r="E99" s="8" t="n">
        <x:f>IF(AND(ISNUMBER('Translation Review'!Q99),'Translation Review'!Q99&gt;0,'Translation Review'!Q99=INT('Translation Review'!Q99)),0,1)</x:f>
        <x:v>0</x:v>
      </x:c>
    </x:row>
    <x:row r="100" ht="24" customHeight="1">
      <x:c r="A100" s="8" t="str">
        <x:v>act_iso_neutral_reach.02</x:v>
      </x:c>
      <x:c r="B100" s="8" t="n">
        <x:f>IFERROR(IF(REGEXTEST('Translation Review'!E100,"[ก-๙]"),1,0),1)</x:f>
        <x:v>0</x:v>
      </x:c>
      <x:c r="C100" s="8" t="n">
        <x:f>IF(OR('Translation Review'!F100="direct",'Translation Review'!F100="plain_english"),0,1)</x:f>
        <x:v>0</x:v>
      </x:c>
      <x:c r="D100" s="8" t="n">
        <x:f>IFERROR(IF(AND(OR(LEN('Translation Review'!P100)=21,LEN('Translation Review'!P100)=26),MID('Translation Review'!P100,6,1)="-",MID('Translation Review'!P100,9,1)="-",MID('Translation Review'!P100,12,1)="T",MID('Translation Review'!P100,15,1)=":",MID('Translation Review'!P100,18,1)=":",VALUE(MID('Translation Review'!P100,7,2))&gt;=1,VALUE(MID('Translation Review'!P100,7,2))&lt;=12,VALUE(MID('Translation Review'!P100,10,2))&gt;=1,VALUE(MID('Translation Review'!P100,10,2))&lt;=CHOOSE(VALUE(MID('Translation Review'!P100,7,2)),31,IF(AND(MOD(VALUE(MID('Translation Review'!P100,2,4)),4)=0,OR(MOD(VALUE(MID('Translation Review'!P100,2,4)),100)&lt;&gt;0,MOD(VALUE(MID('Translation Review'!P100,2,4)),400)=0)),29,28),31,30,31,30,31,31,30,31,30,31),VALUE(MID('Translation Review'!P100,13,2))&gt;=0,VALUE(MID('Translation Review'!P100,13,2))&lt;=23,VALUE(MID('Translation Review'!P100,16,2))&gt;=0,VALUE(MID('Translation Review'!P100,16,2))&lt;=59,VALUE(MID('Translation Review'!P100,19,2))&gt;=0,VALUE(MID('Translation Review'!P100,19,2))&lt;=59,OR(AND(LEN('Translation Review'!P100)=21,RIGHT('Translation Review'!P100,1)="Z"),AND(LEN('Translation Review'!P100)=26,OR(MID('Translation Review'!P100,21,1)="+",MID('Translation Review'!P100,21,1)="-"),MID('Translation Review'!P100,24,1)=":",VALUE(MID('Translation Review'!P100,22,2))&gt;=0,VALUE(MID('Translation Review'!P100,22,2))&lt;=23,VALUE(MID('Translation Review'!P100,25,2))&gt;=0,VALUE(MID('Translation Review'!P100,25,2))&lt;=59))),0,1),1)</x:f>
        <x:v>0</x:v>
      </x:c>
      <x:c r="E100" s="8" t="n">
        <x:f>IF(AND(ISNUMBER('Translation Review'!Q100),'Translation Review'!Q100&gt;0,'Translation Review'!Q100=INT('Translation Review'!Q100)),0,1)</x:f>
        <x:v>0</x:v>
      </x:c>
    </x:row>
    <x:row r="101" ht="24" customHeight="1">
      <x:c r="A101" s="8" t="str">
        <x:v>act_iso_plan_recovery.01</x:v>
      </x:c>
      <x:c r="B101" s="8" t="n">
        <x:f>IFERROR(IF(REGEXTEST('Translation Review'!E101,"[ก-๙]"),1,0),1)</x:f>
        <x:v>0</x:v>
      </x:c>
      <x:c r="C101" s="8" t="n">
        <x:f>IF(OR('Translation Review'!F101="direct",'Translation Review'!F101="plain_english"),0,1)</x:f>
        <x:v>0</x:v>
      </x:c>
      <x:c r="D101" s="8" t="n">
        <x:f>IFERROR(IF(AND(OR(LEN('Translation Review'!P101)=21,LEN('Translation Review'!P101)=26),MID('Translation Review'!P101,6,1)="-",MID('Translation Review'!P101,9,1)="-",MID('Translation Review'!P101,12,1)="T",MID('Translation Review'!P101,15,1)=":",MID('Translation Review'!P101,18,1)=":",VALUE(MID('Translation Review'!P101,7,2))&gt;=1,VALUE(MID('Translation Review'!P101,7,2))&lt;=12,VALUE(MID('Translation Review'!P101,10,2))&gt;=1,VALUE(MID('Translation Review'!P101,10,2))&lt;=CHOOSE(VALUE(MID('Translation Review'!P101,7,2)),31,IF(AND(MOD(VALUE(MID('Translation Review'!P101,2,4)),4)=0,OR(MOD(VALUE(MID('Translation Review'!P101,2,4)),100)&lt;&gt;0,MOD(VALUE(MID('Translation Review'!P101,2,4)),400)=0)),29,28),31,30,31,30,31,31,30,31,30,31),VALUE(MID('Translation Review'!P101,13,2))&gt;=0,VALUE(MID('Translation Review'!P101,13,2))&lt;=23,VALUE(MID('Translation Review'!P101,16,2))&gt;=0,VALUE(MID('Translation Review'!P101,16,2))&lt;=59,VALUE(MID('Translation Review'!P101,19,2))&gt;=0,VALUE(MID('Translation Review'!P101,19,2))&lt;=59,OR(AND(LEN('Translation Review'!P101)=21,RIGHT('Translation Review'!P101,1)="Z"),AND(LEN('Translation Review'!P101)=26,OR(MID('Translation Review'!P101,21,1)="+",MID('Translation Review'!P101,21,1)="-"),MID('Translation Review'!P101,24,1)=":",VALUE(MID('Translation Review'!P101,22,2))&gt;=0,VALUE(MID('Translation Review'!P101,22,2))&lt;=23,VALUE(MID('Translation Review'!P101,25,2))&gt;=0,VALUE(MID('Translation Review'!P101,25,2))&lt;=59))),0,1),1)</x:f>
        <x:v>0</x:v>
      </x:c>
      <x:c r="E101" s="8" t="n">
        <x:f>IF(AND(ISNUMBER('Translation Review'!Q101),'Translation Review'!Q101&gt;0,'Translation Review'!Q101=INT('Translation Review'!Q101)),0,1)</x:f>
        <x:v>0</x:v>
      </x:c>
    </x:row>
    <x:row r="102" ht="24" customHeight="1">
      <x:c r="A102" s="8" t="str">
        <x:v>act_iso_push_handle_height.01</x:v>
      </x:c>
      <x:c r="B102" s="8" t="n">
        <x:f>IFERROR(IF(REGEXTEST('Translation Review'!E102,"[ก-๙]"),1,0),1)</x:f>
        <x:v>0</x:v>
      </x:c>
      <x:c r="C102" s="8" t="n">
        <x:f>IF(OR('Translation Review'!F102="direct",'Translation Review'!F102="plain_english"),0,1)</x:f>
        <x:v>0</x:v>
      </x:c>
      <x:c r="D102" s="8" t="n">
        <x:f>IFERROR(IF(AND(OR(LEN('Translation Review'!P102)=21,LEN('Translation Review'!P102)=26),MID('Translation Review'!P102,6,1)="-",MID('Translation Review'!P102,9,1)="-",MID('Translation Review'!P102,12,1)="T",MID('Translation Review'!P102,15,1)=":",MID('Translation Review'!P102,18,1)=":",VALUE(MID('Translation Review'!P102,7,2))&gt;=1,VALUE(MID('Translation Review'!P102,7,2))&lt;=12,VALUE(MID('Translation Review'!P102,10,2))&gt;=1,VALUE(MID('Translation Review'!P102,10,2))&lt;=CHOOSE(VALUE(MID('Translation Review'!P102,7,2)),31,IF(AND(MOD(VALUE(MID('Translation Review'!P102,2,4)),4)=0,OR(MOD(VALUE(MID('Translation Review'!P102,2,4)),100)&lt;&gt;0,MOD(VALUE(MID('Translation Review'!P102,2,4)),400)=0)),29,28),31,30,31,30,31,31,30,31,30,31),VALUE(MID('Translation Review'!P102,13,2))&gt;=0,VALUE(MID('Translation Review'!P102,13,2))&lt;=23,VALUE(MID('Translation Review'!P102,16,2))&gt;=0,VALUE(MID('Translation Review'!P102,16,2))&lt;=59,VALUE(MID('Translation Review'!P102,19,2))&gt;=0,VALUE(MID('Translation Review'!P102,19,2))&lt;=59,OR(AND(LEN('Translation Review'!P102)=21,RIGHT('Translation Review'!P102,1)="Z"),AND(LEN('Translation Review'!P102)=26,OR(MID('Translation Review'!P102,21,1)="+",MID('Translation Review'!P102,21,1)="-"),MID('Translation Review'!P102,24,1)=":",VALUE(MID('Translation Review'!P102,22,2))&gt;=0,VALUE(MID('Translation Review'!P102,22,2))&lt;=23,VALUE(MID('Translation Review'!P102,25,2))&gt;=0,VALUE(MID('Translation Review'!P102,25,2))&lt;=59))),0,1),1)</x:f>
        <x:v>0</x:v>
      </x:c>
      <x:c r="E102" s="8" t="n">
        <x:f>IF(AND(ISNUMBER('Translation Review'!Q102),'Translation Review'!Q102&gt;0,'Translation Review'!Q102=INT('Translation Review'!Q102)),0,1)</x:f>
        <x:v>0</x:v>
      </x:c>
    </x:row>
    <x:row r="103" ht="24" customHeight="1">
      <x:c r="A103" s="8" t="str">
        <x:v>act_iso_push_not_pull.01</x:v>
      </x:c>
      <x:c r="B103" s="8" t="n">
        <x:f>IFERROR(IF(REGEXTEST('Translation Review'!E103,"[ก-๙]"),1,0),1)</x:f>
        <x:v>0</x:v>
      </x:c>
      <x:c r="C103" s="8" t="n">
        <x:f>IF(OR('Translation Review'!F103="direct",'Translation Review'!F103="plain_english"),0,1)</x:f>
        <x:v>0</x:v>
      </x:c>
      <x:c r="D103" s="8" t="n">
        <x:f>IFERROR(IF(AND(OR(LEN('Translation Review'!P103)=21,LEN('Translation Review'!P103)=26),MID('Translation Review'!P103,6,1)="-",MID('Translation Review'!P103,9,1)="-",MID('Translation Review'!P103,12,1)="T",MID('Translation Review'!P103,15,1)=":",MID('Translation Review'!P103,18,1)=":",VALUE(MID('Translation Review'!P103,7,2))&gt;=1,VALUE(MID('Translation Review'!P103,7,2))&lt;=12,VALUE(MID('Translation Review'!P103,10,2))&gt;=1,VALUE(MID('Translation Review'!P103,10,2))&lt;=CHOOSE(VALUE(MID('Translation Review'!P103,7,2)),31,IF(AND(MOD(VALUE(MID('Translation Review'!P103,2,4)),4)=0,OR(MOD(VALUE(MID('Translation Review'!P103,2,4)),100)&lt;&gt;0,MOD(VALUE(MID('Translation Review'!P103,2,4)),400)=0)),29,28),31,30,31,30,31,31,30,31,30,31),VALUE(MID('Translation Review'!P103,13,2))&gt;=0,VALUE(MID('Translation Review'!P103,13,2))&lt;=23,VALUE(MID('Translation Review'!P103,16,2))&gt;=0,VALUE(MID('Translation Review'!P103,16,2))&lt;=59,VALUE(MID('Translation Review'!P103,19,2))&gt;=0,VALUE(MID('Translation Review'!P103,19,2))&lt;=59,OR(AND(LEN('Translation Review'!P103)=21,RIGHT('Translation Review'!P103,1)="Z"),AND(LEN('Translation Review'!P103)=26,OR(MID('Translation Review'!P103,21,1)="+",MID('Translation Review'!P103,21,1)="-"),MID('Translation Review'!P103,24,1)=":",VALUE(MID('Translation Review'!P103,22,2))&gt;=0,VALUE(MID('Translation Review'!P103,22,2))&lt;=23,VALUE(MID('Translation Review'!P103,25,2))&gt;=0,VALUE(MID('Translation Review'!P103,25,2))&lt;=59))),0,1),1)</x:f>
        <x:v>0</x:v>
      </x:c>
      <x:c r="E103" s="8" t="n">
        <x:f>IF(AND(ISNUMBER('Translation Review'!Q103),'Translation Review'!Q103&gt;0,'Translation Review'!Q103=INT('Translation Review'!Q103)),0,1)</x:f>
        <x:v>0</x:v>
      </x:c>
    </x:row>
    <x:row r="104" ht="24" customHeight="1">
      <x:c r="A104" s="8" t="str">
        <x:v>act_iso_push_smooth.01</x:v>
      </x:c>
      <x:c r="B104" s="8" t="n">
        <x:f>IFERROR(IF(REGEXTEST('Translation Review'!E104,"[ก-๙]"),1,0),1)</x:f>
        <x:v>0</x:v>
      </x:c>
      <x:c r="C104" s="8" t="n">
        <x:f>IF(OR('Translation Review'!F104="direct",'Translation Review'!F104="plain_english"),0,1)</x:f>
        <x:v>0</x:v>
      </x:c>
      <x:c r="D104" s="8" t="n">
        <x:f>IFERROR(IF(AND(OR(LEN('Translation Review'!P104)=21,LEN('Translation Review'!P104)=26),MID('Translation Review'!P104,6,1)="-",MID('Translation Review'!P104,9,1)="-",MID('Translation Review'!P104,12,1)="T",MID('Translation Review'!P104,15,1)=":",MID('Translation Review'!P104,18,1)=":",VALUE(MID('Translation Review'!P104,7,2))&gt;=1,VALUE(MID('Translation Review'!P104,7,2))&lt;=12,VALUE(MID('Translation Review'!P104,10,2))&gt;=1,VALUE(MID('Translation Review'!P104,10,2))&lt;=CHOOSE(VALUE(MID('Translation Review'!P104,7,2)),31,IF(AND(MOD(VALUE(MID('Translation Review'!P104,2,4)),4)=0,OR(MOD(VALUE(MID('Translation Review'!P104,2,4)),100)&lt;&gt;0,MOD(VALUE(MID('Translation Review'!P104,2,4)),400)=0)),29,28),31,30,31,30,31,31,30,31,30,31),VALUE(MID('Translation Review'!P104,13,2))&gt;=0,VALUE(MID('Translation Review'!P104,13,2))&lt;=23,VALUE(MID('Translation Review'!P104,16,2))&gt;=0,VALUE(MID('Translation Review'!P104,16,2))&lt;=59,VALUE(MID('Translation Review'!P104,19,2))&gt;=0,VALUE(MID('Translation Review'!P104,19,2))&lt;=59,OR(AND(LEN('Translation Review'!P104)=21,RIGHT('Translation Review'!P104,1)="Z"),AND(LEN('Translation Review'!P104)=26,OR(MID('Translation Review'!P104,21,1)="+",MID('Translation Review'!P104,21,1)="-"),MID('Translation Review'!P104,24,1)=":",VALUE(MID('Translation Review'!P104,22,2))&gt;=0,VALUE(MID('Translation Review'!P104,22,2))&lt;=23,VALUE(MID('Translation Review'!P104,25,2))&gt;=0,VALUE(MID('Translation Review'!P104,25,2))&lt;=59))),0,1),1)</x:f>
        <x:v>0</x:v>
      </x:c>
      <x:c r="E104" s="8" t="n">
        <x:f>IF(AND(ISNUMBER('Translation Review'!Q104),'Translation Review'!Q104&gt;0,'Translation Review'!Q104=INT('Translation Review'!Q104)),0,1)</x:f>
        <x:v>0</x:v>
      </x:c>
    </x:row>
    <x:row r="105" ht="24" customHeight="1">
      <x:c r="A105" s="8" t="str">
        <x:v>act_iso_reduce_frequency.01</x:v>
      </x:c>
      <x:c r="B105" s="8" t="n">
        <x:f>IFERROR(IF(REGEXTEST('Translation Review'!E105,"[ก-๙]"),1,0),1)</x:f>
        <x:v>0</x:v>
      </x:c>
      <x:c r="C105" s="8" t="n">
        <x:f>IF(OR('Translation Review'!F105="direct",'Translation Review'!F105="plain_english"),0,1)</x:f>
        <x:v>0</x:v>
      </x:c>
      <x:c r="D105" s="8" t="n">
        <x:f>IFERROR(IF(AND(OR(LEN('Translation Review'!P105)=21,LEN('Translation Review'!P105)=26),MID('Translation Review'!P105,6,1)="-",MID('Translation Review'!P105,9,1)="-",MID('Translation Review'!P105,12,1)="T",MID('Translation Review'!P105,15,1)=":",MID('Translation Review'!P105,18,1)=":",VALUE(MID('Translation Review'!P105,7,2))&gt;=1,VALUE(MID('Translation Review'!P105,7,2))&lt;=12,VALUE(MID('Translation Review'!P105,10,2))&gt;=1,VALUE(MID('Translation Review'!P105,10,2))&lt;=CHOOSE(VALUE(MID('Translation Review'!P105,7,2)),31,IF(AND(MOD(VALUE(MID('Translation Review'!P105,2,4)),4)=0,OR(MOD(VALUE(MID('Translation Review'!P105,2,4)),100)&lt;&gt;0,MOD(VALUE(MID('Translation Review'!P105,2,4)),400)=0)),29,28),31,30,31,30,31,31,30,31,30,31),VALUE(MID('Translation Review'!P105,13,2))&gt;=0,VALUE(MID('Translation Review'!P105,13,2))&lt;=23,VALUE(MID('Translation Review'!P105,16,2))&gt;=0,VALUE(MID('Translation Review'!P105,16,2))&lt;=59,VALUE(MID('Translation Review'!P105,19,2))&gt;=0,VALUE(MID('Translation Review'!P105,19,2))&lt;=59,OR(AND(LEN('Translation Review'!P105)=21,RIGHT('Translation Review'!P105,1)="Z"),AND(LEN('Translation Review'!P105)=26,OR(MID('Translation Review'!P105,21,1)="+",MID('Translation Review'!P105,21,1)="-"),MID('Translation Review'!P105,24,1)=":",VALUE(MID('Translation Review'!P105,22,2))&gt;=0,VALUE(MID('Translation Review'!P105,22,2))&lt;=23,VALUE(MID('Translation Review'!P105,25,2))&gt;=0,VALUE(MID('Translation Review'!P105,25,2))&lt;=59))),0,1),1)</x:f>
        <x:v>0</x:v>
      </x:c>
      <x:c r="E105" s="8" t="n">
        <x:f>IF(AND(ISNUMBER('Translation Review'!Q105),'Translation Review'!Q105&gt;0,'Translation Review'!Q105=INT('Translation Review'!Q105)),0,1)</x:f>
        <x:v>0</x:v>
      </x:c>
    </x:row>
    <x:row r="106" ht="24" customHeight="1">
      <x:c r="A106" s="8" t="str">
        <x:v>act_iso_reduce_push_distance.01</x:v>
      </x:c>
      <x:c r="B106" s="8" t="n">
        <x:f>IFERROR(IF(REGEXTEST('Translation Review'!E106,"[ก-๙]"),1,0),1)</x:f>
        <x:v>0</x:v>
      </x:c>
      <x:c r="C106" s="8" t="n">
        <x:f>IF(OR('Translation Review'!F106="direct",'Translation Review'!F106="plain_english"),0,1)</x:f>
        <x:v>0</x:v>
      </x:c>
      <x:c r="D106" s="8" t="n">
        <x:f>IFERROR(IF(AND(OR(LEN('Translation Review'!P106)=21,LEN('Translation Review'!P106)=26),MID('Translation Review'!P106,6,1)="-",MID('Translation Review'!P106,9,1)="-",MID('Translation Review'!P106,12,1)="T",MID('Translation Review'!P106,15,1)=":",MID('Translation Review'!P106,18,1)=":",VALUE(MID('Translation Review'!P106,7,2))&gt;=1,VALUE(MID('Translation Review'!P106,7,2))&lt;=12,VALUE(MID('Translation Review'!P106,10,2))&gt;=1,VALUE(MID('Translation Review'!P106,10,2))&lt;=CHOOSE(VALUE(MID('Translation Review'!P106,7,2)),31,IF(AND(MOD(VALUE(MID('Translation Review'!P106,2,4)),4)=0,OR(MOD(VALUE(MID('Translation Review'!P106,2,4)),100)&lt;&gt;0,MOD(VALUE(MID('Translation Review'!P106,2,4)),400)=0)),29,28),31,30,31,30,31,31,30,31,30,31),VALUE(MID('Translation Review'!P106,13,2))&gt;=0,VALUE(MID('Translation Review'!P106,13,2))&lt;=23,VALUE(MID('Translation Review'!P106,16,2))&gt;=0,VALUE(MID('Translation Review'!P106,16,2))&lt;=59,VALUE(MID('Translation Review'!P106,19,2))&gt;=0,VALUE(MID('Translation Review'!P106,19,2))&lt;=59,OR(AND(LEN('Translation Review'!P106)=21,RIGHT('Translation Review'!P106,1)="Z"),AND(LEN('Translation Review'!P106)=26,OR(MID('Translation Review'!P106,21,1)="+",MID('Translation Review'!P106,21,1)="-"),MID('Translation Review'!P106,24,1)=":",VALUE(MID('Translation Review'!P106,22,2))&gt;=0,VALUE(MID('Translation Review'!P106,22,2))&lt;=23,VALUE(MID('Translation Review'!P106,25,2))&gt;=0,VALUE(MID('Translation Review'!P106,25,2))&lt;=59))),0,1),1)</x:f>
        <x:v>0</x:v>
      </x:c>
      <x:c r="E106" s="8" t="n">
        <x:f>IF(AND(ISNUMBER('Translation Review'!Q106),'Translation Review'!Q106&gt;0,'Translation Review'!Q106=INT('Translation Review'!Q106)),0,1)</x:f>
        <x:v>0</x:v>
      </x:c>
    </x:row>
    <x:row r="107" ht="24" customHeight="1">
      <x:c r="A107" s="8" t="str">
        <x:v>act_iso_tool_handle_fit.01</x:v>
      </x:c>
      <x:c r="B107" s="8" t="n">
        <x:f>IFERROR(IF(REGEXTEST('Translation Review'!E107,"[ก-๙]"),1,0),1)</x:f>
        <x:v>0</x:v>
      </x:c>
      <x:c r="C107" s="8" t="n">
        <x:f>IF(OR('Translation Review'!F107="direct",'Translation Review'!F107="plain_english"),0,1)</x:f>
        <x:v>0</x:v>
      </x:c>
      <x:c r="D107" s="8" t="n">
        <x:f>IFERROR(IF(AND(OR(LEN('Translation Review'!P107)=21,LEN('Translation Review'!P107)=26),MID('Translation Review'!P107,6,1)="-",MID('Translation Review'!P107,9,1)="-",MID('Translation Review'!P107,12,1)="T",MID('Translation Review'!P107,15,1)=":",MID('Translation Review'!P107,18,1)=":",VALUE(MID('Translation Review'!P107,7,2))&gt;=1,VALUE(MID('Translation Review'!P107,7,2))&lt;=12,VALUE(MID('Translation Review'!P107,10,2))&gt;=1,VALUE(MID('Translation Review'!P107,10,2))&lt;=CHOOSE(VALUE(MID('Translation Review'!P107,7,2)),31,IF(AND(MOD(VALUE(MID('Translation Review'!P107,2,4)),4)=0,OR(MOD(VALUE(MID('Translation Review'!P107,2,4)),100)&lt;&gt;0,MOD(VALUE(MID('Translation Review'!P107,2,4)),400)=0)),29,28),31,30,31,30,31,31,30,31,30,31),VALUE(MID('Translation Review'!P107,13,2))&gt;=0,VALUE(MID('Translation Review'!P107,13,2))&lt;=23,VALUE(MID('Translation Review'!P107,16,2))&gt;=0,VALUE(MID('Translation Review'!P107,16,2))&lt;=59,VALUE(MID('Translation Review'!P107,19,2))&gt;=0,VALUE(MID('Translation Review'!P107,19,2))&lt;=59,OR(AND(LEN('Translation Review'!P107)=21,RIGHT('Translation Review'!P107,1)="Z"),AND(LEN('Translation Review'!P107)=26,OR(MID('Translation Review'!P107,21,1)="+",MID('Translation Review'!P107,21,1)="-"),MID('Translation Review'!P107,24,1)=":",VALUE(MID('Translation Review'!P107,22,2))&gt;=0,VALUE(MID('Translation Review'!P107,22,2))&lt;=23,VALUE(MID('Translation Review'!P107,25,2))&gt;=0,VALUE(MID('Translation Review'!P107,25,2))&lt;=59))),0,1),1)</x:f>
        <x:v>0</x:v>
      </x:c>
      <x:c r="E107" s="8" t="n">
        <x:f>IF(AND(ISNUMBER('Translation Review'!Q107),'Translation Review'!Q107&gt;0,'Translation Review'!Q107=INT('Translation Review'!Q107)),0,1)</x:f>
        <x:v>0</x:v>
      </x:c>
    </x:row>
    <x:row r="108" ht="24" customHeight="1">
      <x:c r="A108" s="8" t="str">
        <x:v>act_iso_tool_handle_fit.02</x:v>
      </x:c>
      <x:c r="B108" s="8" t="n">
        <x:f>IFERROR(IF(REGEXTEST('Translation Review'!E108,"[ก-๙]"),1,0),1)</x:f>
        <x:v>0</x:v>
      </x:c>
      <x:c r="C108" s="8" t="n">
        <x:f>IF(OR('Translation Review'!F108="direct",'Translation Review'!F108="plain_english"),0,1)</x:f>
        <x:v>0</x:v>
      </x:c>
      <x:c r="D108" s="8" t="n">
        <x:f>IFERROR(IF(AND(OR(LEN('Translation Review'!P108)=21,LEN('Translation Review'!P108)=26),MID('Translation Review'!P108,6,1)="-",MID('Translation Review'!P108,9,1)="-",MID('Translation Review'!P108,12,1)="T",MID('Translation Review'!P108,15,1)=":",MID('Translation Review'!P108,18,1)=":",VALUE(MID('Translation Review'!P108,7,2))&gt;=1,VALUE(MID('Translation Review'!P108,7,2))&lt;=12,VALUE(MID('Translation Review'!P108,10,2))&gt;=1,VALUE(MID('Translation Review'!P108,10,2))&lt;=CHOOSE(VALUE(MID('Translation Review'!P108,7,2)),31,IF(AND(MOD(VALUE(MID('Translation Review'!P108,2,4)),4)=0,OR(MOD(VALUE(MID('Translation Review'!P108,2,4)),100)&lt;&gt;0,MOD(VALUE(MID('Translation Review'!P108,2,4)),400)=0)),29,28),31,30,31,30,31,31,30,31,30,31),VALUE(MID('Translation Review'!P108,13,2))&gt;=0,VALUE(MID('Translation Review'!P108,13,2))&lt;=23,VALUE(MID('Translation Review'!P108,16,2))&gt;=0,VALUE(MID('Translation Review'!P108,16,2))&lt;=59,VALUE(MID('Translation Review'!P108,19,2))&gt;=0,VALUE(MID('Translation Review'!P108,19,2))&lt;=59,OR(AND(LEN('Translation Review'!P108)=21,RIGHT('Translation Review'!P108,1)="Z"),AND(LEN('Translation Review'!P108)=26,OR(MID('Translation Review'!P108,21,1)="+",MID('Translation Review'!P108,21,1)="-"),MID('Translation Review'!P108,24,1)=":",VALUE(MID('Translation Review'!P108,22,2))&gt;=0,VALUE(MID('Translation Review'!P108,22,2))&lt;=23,VALUE(MID('Translation Review'!P108,25,2))&gt;=0,VALUE(MID('Translation Review'!P108,25,2))&lt;=59))),0,1),1)</x:f>
        <x:v>0</x:v>
      </x:c>
      <x:c r="E108" s="8" t="n">
        <x:f>IF(AND(ISNUMBER('Translation Review'!Q108),'Translation Review'!Q108&gt;0,'Translation Review'!Q108=INT('Translation Review'!Q108)),0,1)</x:f>
        <x:v>0</x:v>
      </x:c>
    </x:row>
    <x:row r="109" ht="24" customHeight="1">
      <x:c r="A109" s="8" t="str">
        <x:v>act_pesticide_ref_high.01</x:v>
      </x:c>
      <x:c r="B109" s="8" t="n">
        <x:f>IFERROR(IF(REGEXTEST('Translation Review'!E109,"[ก-๙]"),1,0),1)</x:f>
        <x:v>0</x:v>
      </x:c>
      <x:c r="C109" s="8" t="n">
        <x:f>IF(OR('Translation Review'!F109="direct",'Translation Review'!F109="plain_english"),0,1)</x:f>
        <x:v>0</x:v>
      </x:c>
      <x:c r="D109" s="8" t="n">
        <x:f>IFERROR(IF(AND(OR(LEN('Translation Review'!P109)=21,LEN('Translation Review'!P109)=26),MID('Translation Review'!P109,6,1)="-",MID('Translation Review'!P109,9,1)="-",MID('Translation Review'!P109,12,1)="T",MID('Translation Review'!P109,15,1)=":",MID('Translation Review'!P109,18,1)=":",VALUE(MID('Translation Review'!P109,7,2))&gt;=1,VALUE(MID('Translation Review'!P109,7,2))&lt;=12,VALUE(MID('Translation Review'!P109,10,2))&gt;=1,VALUE(MID('Translation Review'!P109,10,2))&lt;=CHOOSE(VALUE(MID('Translation Review'!P109,7,2)),31,IF(AND(MOD(VALUE(MID('Translation Review'!P109,2,4)),4)=0,OR(MOD(VALUE(MID('Translation Review'!P109,2,4)),100)&lt;&gt;0,MOD(VALUE(MID('Translation Review'!P109,2,4)),400)=0)),29,28),31,30,31,30,31,31,30,31,30,31),VALUE(MID('Translation Review'!P109,13,2))&gt;=0,VALUE(MID('Translation Review'!P109,13,2))&lt;=23,VALUE(MID('Translation Review'!P109,16,2))&gt;=0,VALUE(MID('Translation Review'!P109,16,2))&lt;=59,VALUE(MID('Translation Review'!P109,19,2))&gt;=0,VALUE(MID('Translation Review'!P109,19,2))&lt;=59,OR(AND(LEN('Translation Review'!P109)=21,RIGHT('Translation Review'!P109,1)="Z"),AND(LEN('Translation Review'!P109)=26,OR(MID('Translation Review'!P109,21,1)="+",MID('Translation Review'!P109,21,1)="-"),MID('Translation Review'!P109,24,1)=":",VALUE(MID('Translation Review'!P109,22,2))&gt;=0,VALUE(MID('Translation Review'!P109,22,2))&lt;=23,VALUE(MID('Translation Review'!P109,25,2))&gt;=0,VALUE(MID('Translation Review'!P109,25,2))&lt;=59))),0,1),1)</x:f>
        <x:v>0</x:v>
      </x:c>
      <x:c r="E109" s="8" t="n">
        <x:f>IF(AND(ISNUMBER('Translation Review'!Q109),'Translation Review'!Q109&gt;0,'Translation Review'!Q109=INT('Translation Review'!Q109)),0,1)</x:f>
        <x:v>0</x:v>
      </x:c>
    </x:row>
    <x:row r="110" ht="24" customHeight="1">
      <x:c r="A110" s="8" t="str">
        <x:v>act_pesticide_ref_high.02</x:v>
      </x:c>
      <x:c r="B110" s="8" t="n">
        <x:f>IFERROR(IF(REGEXTEST('Translation Review'!E110,"[ก-๙]"),1,0),1)</x:f>
        <x:v>0</x:v>
      </x:c>
      <x:c r="C110" s="8" t="n">
        <x:f>IF(OR('Translation Review'!F110="direct",'Translation Review'!F110="plain_english"),0,1)</x:f>
        <x:v>0</x:v>
      </x:c>
      <x:c r="D110" s="8" t="n">
        <x:f>IFERROR(IF(AND(OR(LEN('Translation Review'!P110)=21,LEN('Translation Review'!P110)=26),MID('Translation Review'!P110,6,1)="-",MID('Translation Review'!P110,9,1)="-",MID('Translation Review'!P110,12,1)="T",MID('Translation Review'!P110,15,1)=":",MID('Translation Review'!P110,18,1)=":",VALUE(MID('Translation Review'!P110,7,2))&gt;=1,VALUE(MID('Translation Review'!P110,7,2))&lt;=12,VALUE(MID('Translation Review'!P110,10,2))&gt;=1,VALUE(MID('Translation Review'!P110,10,2))&lt;=CHOOSE(VALUE(MID('Translation Review'!P110,7,2)),31,IF(AND(MOD(VALUE(MID('Translation Review'!P110,2,4)),4)=0,OR(MOD(VALUE(MID('Translation Review'!P110,2,4)),100)&lt;&gt;0,MOD(VALUE(MID('Translation Review'!P110,2,4)),400)=0)),29,28),31,30,31,30,31,31,30,31,30,31),VALUE(MID('Translation Review'!P110,13,2))&gt;=0,VALUE(MID('Translation Review'!P110,13,2))&lt;=23,VALUE(MID('Translation Review'!P110,16,2))&gt;=0,VALUE(MID('Translation Review'!P110,16,2))&lt;=59,VALUE(MID('Translation Review'!P110,19,2))&gt;=0,VALUE(MID('Translation Review'!P110,19,2))&lt;=59,OR(AND(LEN('Translation Review'!P110)=21,RIGHT('Translation Review'!P110,1)="Z"),AND(LEN('Translation Review'!P110)=26,OR(MID('Translation Review'!P110,21,1)="+",MID('Translation Review'!P110,21,1)="-"),MID('Translation Review'!P110,24,1)=":",VALUE(MID('Translation Review'!P110,22,2))&gt;=0,VALUE(MID('Translation Review'!P110,22,2))&lt;=23,VALUE(MID('Translation Review'!P110,25,2))&gt;=0,VALUE(MID('Translation Review'!P110,25,2))&lt;=59))),0,1),1)</x:f>
        <x:v>0</x:v>
      </x:c>
      <x:c r="E110" s="8" t="n">
        <x:f>IF(AND(ISNUMBER('Translation Review'!Q110),'Translation Review'!Q110&gt;0,'Translation Review'!Q110=INT('Translation Review'!Q110)),0,1)</x:f>
        <x:v>0</x:v>
      </x:c>
    </x:row>
    <x:row r="111" ht="24" customHeight="1">
      <x:c r="A111" s="8" t="str">
        <x:v>act_pesticide_ref_low.01</x:v>
      </x:c>
      <x:c r="B111" s="8" t="n">
        <x:f>IFERROR(IF(REGEXTEST('Translation Review'!E111,"[ก-๙]"),1,0),1)</x:f>
        <x:v>0</x:v>
      </x:c>
      <x:c r="C111" s="8" t="n">
        <x:f>IF(OR('Translation Review'!F111="direct",'Translation Review'!F111="plain_english"),0,1)</x:f>
        <x:v>0</x:v>
      </x:c>
      <x:c r="D111" s="8" t="n">
        <x:f>IFERROR(IF(AND(OR(LEN('Translation Review'!P111)=21,LEN('Translation Review'!P111)=26),MID('Translation Review'!P111,6,1)="-",MID('Translation Review'!P111,9,1)="-",MID('Translation Review'!P111,12,1)="T",MID('Translation Review'!P111,15,1)=":",MID('Translation Review'!P111,18,1)=":",VALUE(MID('Translation Review'!P111,7,2))&gt;=1,VALUE(MID('Translation Review'!P111,7,2))&lt;=12,VALUE(MID('Translation Review'!P111,10,2))&gt;=1,VALUE(MID('Translation Review'!P111,10,2))&lt;=CHOOSE(VALUE(MID('Translation Review'!P111,7,2)),31,IF(AND(MOD(VALUE(MID('Translation Review'!P111,2,4)),4)=0,OR(MOD(VALUE(MID('Translation Review'!P111,2,4)),100)&lt;&gt;0,MOD(VALUE(MID('Translation Review'!P111,2,4)),400)=0)),29,28),31,30,31,30,31,31,30,31,30,31),VALUE(MID('Translation Review'!P111,13,2))&gt;=0,VALUE(MID('Translation Review'!P111,13,2))&lt;=23,VALUE(MID('Translation Review'!P111,16,2))&gt;=0,VALUE(MID('Translation Review'!P111,16,2))&lt;=59,VALUE(MID('Translation Review'!P111,19,2))&gt;=0,VALUE(MID('Translation Review'!P111,19,2))&lt;=59,OR(AND(LEN('Translation Review'!P111)=21,RIGHT('Translation Review'!P111,1)="Z"),AND(LEN('Translation Review'!P111)=26,OR(MID('Translation Review'!P111,21,1)="+",MID('Translation Review'!P111,21,1)="-"),MID('Translation Review'!P111,24,1)=":",VALUE(MID('Translation Review'!P111,22,2))&gt;=0,VALUE(MID('Translation Review'!P111,22,2))&lt;=23,VALUE(MID('Translation Review'!P111,25,2))&gt;=0,VALUE(MID('Translation Review'!P111,25,2))&lt;=59))),0,1),1)</x:f>
        <x:v>0</x:v>
      </x:c>
      <x:c r="E111" s="8" t="n">
        <x:f>IF(AND(ISNUMBER('Translation Review'!Q111),'Translation Review'!Q111&gt;0,'Translation Review'!Q111=INT('Translation Review'!Q111)),0,1)</x:f>
        <x:v>0</x:v>
      </x:c>
    </x:row>
    <x:row r="112" ht="24" customHeight="1">
      <x:c r="A112" s="8" t="str">
        <x:v>act_pesticide_ref_low.02</x:v>
      </x:c>
      <x:c r="B112" s="8" t="n">
        <x:f>IFERROR(IF(REGEXTEST('Translation Review'!E112,"[ก-๙]"),1,0),1)</x:f>
        <x:v>0</x:v>
      </x:c>
      <x:c r="C112" s="8" t="n">
        <x:f>IF(OR('Translation Review'!F112="direct",'Translation Review'!F112="plain_english"),0,1)</x:f>
        <x:v>0</x:v>
      </x:c>
      <x:c r="D112" s="8" t="n">
        <x:f>IFERROR(IF(AND(OR(LEN('Translation Review'!P112)=21,LEN('Translation Review'!P112)=26),MID('Translation Review'!P112,6,1)="-",MID('Translation Review'!P112,9,1)="-",MID('Translation Review'!P112,12,1)="T",MID('Translation Review'!P112,15,1)=":",MID('Translation Review'!P112,18,1)=":",VALUE(MID('Translation Review'!P112,7,2))&gt;=1,VALUE(MID('Translation Review'!P112,7,2))&lt;=12,VALUE(MID('Translation Review'!P112,10,2))&gt;=1,VALUE(MID('Translation Review'!P112,10,2))&lt;=CHOOSE(VALUE(MID('Translation Review'!P112,7,2)),31,IF(AND(MOD(VALUE(MID('Translation Review'!P112,2,4)),4)=0,OR(MOD(VALUE(MID('Translation Review'!P112,2,4)),100)&lt;&gt;0,MOD(VALUE(MID('Translation Review'!P112,2,4)),400)=0)),29,28),31,30,31,30,31,31,30,31,30,31),VALUE(MID('Translation Review'!P112,13,2))&gt;=0,VALUE(MID('Translation Review'!P112,13,2))&lt;=23,VALUE(MID('Translation Review'!P112,16,2))&gt;=0,VALUE(MID('Translation Review'!P112,16,2))&lt;=59,VALUE(MID('Translation Review'!P112,19,2))&gt;=0,VALUE(MID('Translation Review'!P112,19,2))&lt;=59,OR(AND(LEN('Translation Review'!P112)=21,RIGHT('Translation Review'!P112,1)="Z"),AND(LEN('Translation Review'!P112)=26,OR(MID('Translation Review'!P112,21,1)="+",MID('Translation Review'!P112,21,1)="-"),MID('Translation Review'!P112,24,1)=":",VALUE(MID('Translation Review'!P112,22,2))&gt;=0,VALUE(MID('Translation Review'!P112,22,2))&lt;=23,VALUE(MID('Translation Review'!P112,25,2))&gt;=0,VALUE(MID('Translation Review'!P112,25,2))&lt;=59))),0,1),1)</x:f>
        <x:v>0</x:v>
      </x:c>
      <x:c r="E112" s="8" t="n">
        <x:f>IF(AND(ISNUMBER('Translation Review'!Q112),'Translation Review'!Q112&gt;0,'Translation Review'!Q112=INT('Translation Review'!Q112)),0,1)</x:f>
        <x:v>0</x:v>
      </x:c>
    </x:row>
    <x:row r="113" ht="24" customHeight="1">
      <x:c r="A113" s="8" t="str">
        <x:v>act_pesticide_ref_low.03</x:v>
      </x:c>
      <x:c r="B113" s="8" t="n">
        <x:f>IFERROR(IF(REGEXTEST('Translation Review'!E113,"[ก-๙]"),1,0),1)</x:f>
        <x:v>0</x:v>
      </x:c>
      <x:c r="C113" s="8" t="n">
        <x:f>IF(OR('Translation Review'!F113="direct",'Translation Review'!F113="plain_english"),0,1)</x:f>
        <x:v>0</x:v>
      </x:c>
      <x:c r="D113" s="8" t="n">
        <x:f>IFERROR(IF(AND(OR(LEN('Translation Review'!P113)=21,LEN('Translation Review'!P113)=26),MID('Translation Review'!P113,6,1)="-",MID('Translation Review'!P113,9,1)="-",MID('Translation Review'!P113,12,1)="T",MID('Translation Review'!P113,15,1)=":",MID('Translation Review'!P113,18,1)=":",VALUE(MID('Translation Review'!P113,7,2))&gt;=1,VALUE(MID('Translation Review'!P113,7,2))&lt;=12,VALUE(MID('Translation Review'!P113,10,2))&gt;=1,VALUE(MID('Translation Review'!P113,10,2))&lt;=CHOOSE(VALUE(MID('Translation Review'!P113,7,2)),31,IF(AND(MOD(VALUE(MID('Translation Review'!P113,2,4)),4)=0,OR(MOD(VALUE(MID('Translation Review'!P113,2,4)),100)&lt;&gt;0,MOD(VALUE(MID('Translation Review'!P113,2,4)),400)=0)),29,28),31,30,31,30,31,31,30,31,30,31),VALUE(MID('Translation Review'!P113,13,2))&gt;=0,VALUE(MID('Translation Review'!P113,13,2))&lt;=23,VALUE(MID('Translation Review'!P113,16,2))&gt;=0,VALUE(MID('Translation Review'!P113,16,2))&lt;=59,VALUE(MID('Translation Review'!P113,19,2))&gt;=0,VALUE(MID('Translation Review'!P113,19,2))&lt;=59,OR(AND(LEN('Translation Review'!P113)=21,RIGHT('Translation Review'!P113,1)="Z"),AND(LEN('Translation Review'!P113)=26,OR(MID('Translation Review'!P113,21,1)="+",MID('Translation Review'!P113,21,1)="-"),MID('Translation Review'!P113,24,1)=":",VALUE(MID('Translation Review'!P113,22,2))&gt;=0,VALUE(MID('Translation Review'!P113,22,2))&lt;=23,VALUE(MID('Translation Review'!P113,25,2))&gt;=0,VALUE(MID('Translation Review'!P113,25,2))&lt;=59))),0,1),1)</x:f>
        <x:v>0</x:v>
      </x:c>
      <x:c r="E113" s="8" t="n">
        <x:f>IF(AND(ISNUMBER('Translation Review'!Q113),'Translation Review'!Q113&gt;0,'Translation Review'!Q113=INT('Translation Review'!Q113)),0,1)</x:f>
        <x:v>0</x:v>
      </x:c>
    </x:row>
    <x:row r="114" ht="24" customHeight="1">
      <x:c r="A114" s="8" t="str">
        <x:v>act_pesticide_ref_medium.01</x:v>
      </x:c>
      <x:c r="B114" s="8" t="n">
        <x:f>IFERROR(IF(REGEXTEST('Translation Review'!E114,"[ก-๙]"),1,0),1)</x:f>
        <x:v>0</x:v>
      </x:c>
      <x:c r="C114" s="8" t="n">
        <x:f>IF(OR('Translation Review'!F114="direct",'Translation Review'!F114="plain_english"),0,1)</x:f>
        <x:v>0</x:v>
      </x:c>
      <x:c r="D114" s="8" t="n">
        <x:f>IFERROR(IF(AND(OR(LEN('Translation Review'!P114)=21,LEN('Translation Review'!P114)=26),MID('Translation Review'!P114,6,1)="-",MID('Translation Review'!P114,9,1)="-",MID('Translation Review'!P114,12,1)="T",MID('Translation Review'!P114,15,1)=":",MID('Translation Review'!P114,18,1)=":",VALUE(MID('Translation Review'!P114,7,2))&gt;=1,VALUE(MID('Translation Review'!P114,7,2))&lt;=12,VALUE(MID('Translation Review'!P114,10,2))&gt;=1,VALUE(MID('Translation Review'!P114,10,2))&lt;=CHOOSE(VALUE(MID('Translation Review'!P114,7,2)),31,IF(AND(MOD(VALUE(MID('Translation Review'!P114,2,4)),4)=0,OR(MOD(VALUE(MID('Translation Review'!P114,2,4)),100)&lt;&gt;0,MOD(VALUE(MID('Translation Review'!P114,2,4)),400)=0)),29,28),31,30,31,30,31,31,30,31,30,31),VALUE(MID('Translation Review'!P114,13,2))&gt;=0,VALUE(MID('Translation Review'!P114,13,2))&lt;=23,VALUE(MID('Translation Review'!P114,16,2))&gt;=0,VALUE(MID('Translation Review'!P114,16,2))&lt;=59,VALUE(MID('Translation Review'!P114,19,2))&gt;=0,VALUE(MID('Translation Review'!P114,19,2))&lt;=59,OR(AND(LEN('Translation Review'!P114)=21,RIGHT('Translation Review'!P114,1)="Z"),AND(LEN('Translation Review'!P114)=26,OR(MID('Translation Review'!P114,21,1)="+",MID('Translation Review'!P114,21,1)="-"),MID('Translation Review'!P114,24,1)=":",VALUE(MID('Translation Review'!P114,22,2))&gt;=0,VALUE(MID('Translation Review'!P114,22,2))&lt;=23,VALUE(MID('Translation Review'!P114,25,2))&gt;=0,VALUE(MID('Translation Review'!P114,25,2))&lt;=59))),0,1),1)</x:f>
        <x:v>0</x:v>
      </x:c>
      <x:c r="E114" s="8" t="n">
        <x:f>IF(AND(ISNUMBER('Translation Review'!Q114),'Translation Review'!Q114&gt;0,'Translation Review'!Q114=INT('Translation Review'!Q114)),0,1)</x:f>
        <x:v>0</x:v>
      </x:c>
    </x:row>
    <x:row r="115" ht="24" customHeight="1">
      <x:c r="A115" s="8" t="str">
        <x:v>act_pesticide_ref_medium.02</x:v>
      </x:c>
      <x:c r="B115" s="8" t="n">
        <x:f>IFERROR(IF(REGEXTEST('Translation Review'!E115,"[ก-๙]"),1,0),1)</x:f>
        <x:v>0</x:v>
      </x:c>
      <x:c r="C115" s="8" t="n">
        <x:f>IF(OR('Translation Review'!F115="direct",'Translation Review'!F115="plain_english"),0,1)</x:f>
        <x:v>0</x:v>
      </x:c>
      <x:c r="D115" s="8" t="n">
        <x:f>IFERROR(IF(AND(OR(LEN('Translation Review'!P115)=21,LEN('Translation Review'!P115)=26),MID('Translation Review'!P115,6,1)="-",MID('Translation Review'!P115,9,1)="-",MID('Translation Review'!P115,12,1)="T",MID('Translation Review'!P115,15,1)=":",MID('Translation Review'!P115,18,1)=":",VALUE(MID('Translation Review'!P115,7,2))&gt;=1,VALUE(MID('Translation Review'!P115,7,2))&lt;=12,VALUE(MID('Translation Review'!P115,10,2))&gt;=1,VALUE(MID('Translation Review'!P115,10,2))&lt;=CHOOSE(VALUE(MID('Translation Review'!P115,7,2)),31,IF(AND(MOD(VALUE(MID('Translation Review'!P115,2,4)),4)=0,OR(MOD(VALUE(MID('Translation Review'!P115,2,4)),100)&lt;&gt;0,MOD(VALUE(MID('Translation Review'!P115,2,4)),400)=0)),29,28),31,30,31,30,31,31,30,31,30,31),VALUE(MID('Translation Review'!P115,13,2))&gt;=0,VALUE(MID('Translation Review'!P115,13,2))&lt;=23,VALUE(MID('Translation Review'!P115,16,2))&gt;=0,VALUE(MID('Translation Review'!P115,16,2))&lt;=59,VALUE(MID('Translation Review'!P115,19,2))&gt;=0,VALUE(MID('Translation Review'!P115,19,2))&lt;=59,OR(AND(LEN('Translation Review'!P115)=21,RIGHT('Translation Review'!P115,1)="Z"),AND(LEN('Translation Review'!P115)=26,OR(MID('Translation Review'!P115,21,1)="+",MID('Translation Review'!P115,21,1)="-"),MID('Translation Review'!P115,24,1)=":",VALUE(MID('Translation Review'!P115,22,2))&gt;=0,VALUE(MID('Translation Review'!P115,22,2))&lt;=23,VALUE(MID('Translation Review'!P115,25,2))&gt;=0,VALUE(MID('Translation Review'!P115,25,2))&lt;=59))),0,1),1)</x:f>
        <x:v>0</x:v>
      </x:c>
      <x:c r="E115" s="8" t="n">
        <x:f>IF(AND(ISNUMBER('Translation Review'!Q115),'Translation Review'!Q115&gt;0,'Translation Review'!Q115=INT('Translation Review'!Q115)),0,1)</x:f>
        <x:v>0</x:v>
      </x:c>
    </x:row>
    <x:row r="116" ht="24" customHeight="1">
      <x:c r="A116" s="8" t="str">
        <x:v>act_pruning_ref_high.01</x:v>
      </x:c>
      <x:c r="B116" s="8" t="n">
        <x:f>IFERROR(IF(REGEXTEST('Translation Review'!E116,"[ก-๙]"),1,0),1)</x:f>
        <x:v>0</x:v>
      </x:c>
      <x:c r="C116" s="8" t="n">
        <x:f>IF(OR('Translation Review'!F116="direct",'Translation Review'!F116="plain_english"),0,1)</x:f>
        <x:v>0</x:v>
      </x:c>
      <x:c r="D116" s="8" t="n">
        <x:f>IFERROR(IF(AND(OR(LEN('Translation Review'!P116)=21,LEN('Translation Review'!P116)=26),MID('Translation Review'!P116,6,1)="-",MID('Translation Review'!P116,9,1)="-",MID('Translation Review'!P116,12,1)="T",MID('Translation Review'!P116,15,1)=":",MID('Translation Review'!P116,18,1)=":",VALUE(MID('Translation Review'!P116,7,2))&gt;=1,VALUE(MID('Translation Review'!P116,7,2))&lt;=12,VALUE(MID('Translation Review'!P116,10,2))&gt;=1,VALUE(MID('Translation Review'!P116,10,2))&lt;=CHOOSE(VALUE(MID('Translation Review'!P116,7,2)),31,IF(AND(MOD(VALUE(MID('Translation Review'!P116,2,4)),4)=0,OR(MOD(VALUE(MID('Translation Review'!P116,2,4)),100)&lt;&gt;0,MOD(VALUE(MID('Translation Review'!P116,2,4)),400)=0)),29,28),31,30,31,30,31,31,30,31,30,31),VALUE(MID('Translation Review'!P116,13,2))&gt;=0,VALUE(MID('Translation Review'!P116,13,2))&lt;=23,VALUE(MID('Translation Review'!P116,16,2))&gt;=0,VALUE(MID('Translation Review'!P116,16,2))&lt;=59,VALUE(MID('Translation Review'!P116,19,2))&gt;=0,VALUE(MID('Translation Review'!P116,19,2))&lt;=59,OR(AND(LEN('Translation Review'!P116)=21,RIGHT('Translation Review'!P116,1)="Z"),AND(LEN('Translation Review'!P116)=26,OR(MID('Translation Review'!P116,21,1)="+",MID('Translation Review'!P116,21,1)="-"),MID('Translation Review'!P116,24,1)=":",VALUE(MID('Translation Review'!P116,22,2))&gt;=0,VALUE(MID('Translation Review'!P116,22,2))&lt;=23,VALUE(MID('Translation Review'!P116,25,2))&gt;=0,VALUE(MID('Translation Review'!P116,25,2))&lt;=59))),0,1),1)</x:f>
        <x:v>0</x:v>
      </x:c>
      <x:c r="E116" s="8" t="n">
        <x:f>IF(AND(ISNUMBER('Translation Review'!Q116),'Translation Review'!Q116&gt;0,'Translation Review'!Q116=INT('Translation Review'!Q116)),0,1)</x:f>
        <x:v>0</x:v>
      </x:c>
    </x:row>
    <x:row r="117" ht="24" customHeight="1">
      <x:c r="A117" s="8" t="str">
        <x:v>act_pruning_ref_high.02</x:v>
      </x:c>
      <x:c r="B117" s="8" t="n">
        <x:f>IFERROR(IF(REGEXTEST('Translation Review'!E117,"[ก-๙]"),1,0),1)</x:f>
        <x:v>0</x:v>
      </x:c>
      <x:c r="C117" s="8" t="n">
        <x:f>IF(OR('Translation Review'!F117="direct",'Translation Review'!F117="plain_english"),0,1)</x:f>
        <x:v>0</x:v>
      </x:c>
      <x:c r="D117" s="8" t="n">
        <x:f>IFERROR(IF(AND(OR(LEN('Translation Review'!P117)=21,LEN('Translation Review'!P117)=26),MID('Translation Review'!P117,6,1)="-",MID('Translation Review'!P117,9,1)="-",MID('Translation Review'!P117,12,1)="T",MID('Translation Review'!P117,15,1)=":",MID('Translation Review'!P117,18,1)=":",VALUE(MID('Translation Review'!P117,7,2))&gt;=1,VALUE(MID('Translation Review'!P117,7,2))&lt;=12,VALUE(MID('Translation Review'!P117,10,2))&gt;=1,VALUE(MID('Translation Review'!P117,10,2))&lt;=CHOOSE(VALUE(MID('Translation Review'!P117,7,2)),31,IF(AND(MOD(VALUE(MID('Translation Review'!P117,2,4)),4)=0,OR(MOD(VALUE(MID('Translation Review'!P117,2,4)),100)&lt;&gt;0,MOD(VALUE(MID('Translation Review'!P117,2,4)),400)=0)),29,28),31,30,31,30,31,31,30,31,30,31),VALUE(MID('Translation Review'!P117,13,2))&gt;=0,VALUE(MID('Translation Review'!P117,13,2))&lt;=23,VALUE(MID('Translation Review'!P117,16,2))&gt;=0,VALUE(MID('Translation Review'!P117,16,2))&lt;=59,VALUE(MID('Translation Review'!P117,19,2))&gt;=0,VALUE(MID('Translation Review'!P117,19,2))&lt;=59,OR(AND(LEN('Translation Review'!P117)=21,RIGHT('Translation Review'!P117,1)="Z"),AND(LEN('Translation Review'!P117)=26,OR(MID('Translation Review'!P117,21,1)="+",MID('Translation Review'!P117,21,1)="-"),MID('Translation Review'!P117,24,1)=":",VALUE(MID('Translation Review'!P117,22,2))&gt;=0,VALUE(MID('Translation Review'!P117,22,2))&lt;=23,VALUE(MID('Translation Review'!P117,25,2))&gt;=0,VALUE(MID('Translation Review'!P117,25,2))&lt;=59))),0,1),1)</x:f>
        <x:v>0</x:v>
      </x:c>
      <x:c r="E117" s="8" t="n">
        <x:f>IF(AND(ISNUMBER('Translation Review'!Q117),'Translation Review'!Q117&gt;0,'Translation Review'!Q117=INT('Translation Review'!Q117)),0,1)</x:f>
        <x:v>0</x:v>
      </x:c>
    </x:row>
    <x:row r="118" ht="24" customHeight="1">
      <x:c r="A118" s="8" t="str">
        <x:v>act_pruning_ref_high.03</x:v>
      </x:c>
      <x:c r="B118" s="8" t="n">
        <x:f>IFERROR(IF(REGEXTEST('Translation Review'!E118,"[ก-๙]"),1,0),1)</x:f>
        <x:v>0</x:v>
      </x:c>
      <x:c r="C118" s="8" t="n">
        <x:f>IF(OR('Translation Review'!F118="direct",'Translation Review'!F118="plain_english"),0,1)</x:f>
        <x:v>0</x:v>
      </x:c>
      <x:c r="D118" s="8" t="n">
        <x:f>IFERROR(IF(AND(OR(LEN('Translation Review'!P118)=21,LEN('Translation Review'!P118)=26),MID('Translation Review'!P118,6,1)="-",MID('Translation Review'!P118,9,1)="-",MID('Translation Review'!P118,12,1)="T",MID('Translation Review'!P118,15,1)=":",MID('Translation Review'!P118,18,1)=":",VALUE(MID('Translation Review'!P118,7,2))&gt;=1,VALUE(MID('Translation Review'!P118,7,2))&lt;=12,VALUE(MID('Translation Review'!P118,10,2))&gt;=1,VALUE(MID('Translation Review'!P118,10,2))&lt;=CHOOSE(VALUE(MID('Translation Review'!P118,7,2)),31,IF(AND(MOD(VALUE(MID('Translation Review'!P118,2,4)),4)=0,OR(MOD(VALUE(MID('Translation Review'!P118,2,4)),100)&lt;&gt;0,MOD(VALUE(MID('Translation Review'!P118,2,4)),400)=0)),29,28),31,30,31,30,31,31,30,31,30,31),VALUE(MID('Translation Review'!P118,13,2))&gt;=0,VALUE(MID('Translation Review'!P118,13,2))&lt;=23,VALUE(MID('Translation Review'!P118,16,2))&gt;=0,VALUE(MID('Translation Review'!P118,16,2))&lt;=59,VALUE(MID('Translation Review'!P118,19,2))&gt;=0,VALUE(MID('Translation Review'!P118,19,2))&lt;=59,OR(AND(LEN('Translation Review'!P118)=21,RIGHT('Translation Review'!P118,1)="Z"),AND(LEN('Translation Review'!P118)=26,OR(MID('Translation Review'!P118,21,1)="+",MID('Translation Review'!P118,21,1)="-"),MID('Translation Review'!P118,24,1)=":",VALUE(MID('Translation Review'!P118,22,2))&gt;=0,VALUE(MID('Translation Review'!P118,22,2))&lt;=23,VALUE(MID('Translation Review'!P118,25,2))&gt;=0,VALUE(MID('Translation Review'!P118,25,2))&lt;=59))),0,1),1)</x:f>
        <x:v>0</x:v>
      </x:c>
      <x:c r="E118" s="8" t="n">
        <x:f>IF(AND(ISNUMBER('Translation Review'!Q118),'Translation Review'!Q118&gt;0,'Translation Review'!Q118=INT('Translation Review'!Q118)),0,1)</x:f>
        <x:v>0</x:v>
      </x:c>
    </x:row>
    <x:row r="119" ht="24" customHeight="1">
      <x:c r="A119" s="8" t="str">
        <x:v>act_pruning_ref_high.04</x:v>
      </x:c>
      <x:c r="B119" s="8" t="n">
        <x:f>IFERROR(IF(REGEXTEST('Translation Review'!E119,"[ก-๙]"),1,0),1)</x:f>
        <x:v>0</x:v>
      </x:c>
      <x:c r="C119" s="8" t="n">
        <x:f>IF(OR('Translation Review'!F119="direct",'Translation Review'!F119="plain_english"),0,1)</x:f>
        <x:v>0</x:v>
      </x:c>
      <x:c r="D119" s="8" t="n">
        <x:f>IFERROR(IF(AND(OR(LEN('Translation Review'!P119)=21,LEN('Translation Review'!P119)=26),MID('Translation Review'!P119,6,1)="-",MID('Translation Review'!P119,9,1)="-",MID('Translation Review'!P119,12,1)="T",MID('Translation Review'!P119,15,1)=":",MID('Translation Review'!P119,18,1)=":",VALUE(MID('Translation Review'!P119,7,2))&gt;=1,VALUE(MID('Translation Review'!P119,7,2))&lt;=12,VALUE(MID('Translation Review'!P119,10,2))&gt;=1,VALUE(MID('Translation Review'!P119,10,2))&lt;=CHOOSE(VALUE(MID('Translation Review'!P119,7,2)),31,IF(AND(MOD(VALUE(MID('Translation Review'!P119,2,4)),4)=0,OR(MOD(VALUE(MID('Translation Review'!P119,2,4)),100)&lt;&gt;0,MOD(VALUE(MID('Translation Review'!P119,2,4)),400)=0)),29,28),31,30,31,30,31,31,30,31,30,31),VALUE(MID('Translation Review'!P119,13,2))&gt;=0,VALUE(MID('Translation Review'!P119,13,2))&lt;=23,VALUE(MID('Translation Review'!P119,16,2))&gt;=0,VALUE(MID('Translation Review'!P119,16,2))&lt;=59,VALUE(MID('Translation Review'!P119,19,2))&gt;=0,VALUE(MID('Translation Review'!P119,19,2))&lt;=59,OR(AND(LEN('Translation Review'!P119)=21,RIGHT('Translation Review'!P119,1)="Z"),AND(LEN('Translation Review'!P119)=26,OR(MID('Translation Review'!P119,21,1)="+",MID('Translation Review'!P119,21,1)="-"),MID('Translation Review'!P119,24,1)=":",VALUE(MID('Translation Review'!P119,22,2))&gt;=0,VALUE(MID('Translation Review'!P119,22,2))&lt;=23,VALUE(MID('Translation Review'!P119,25,2))&gt;=0,VALUE(MID('Translation Review'!P119,25,2))&lt;=59))),0,1),1)</x:f>
        <x:v>0</x:v>
      </x:c>
      <x:c r="E119" s="8" t="n">
        <x:f>IF(AND(ISNUMBER('Translation Review'!Q119),'Translation Review'!Q119&gt;0,'Translation Review'!Q119=INT('Translation Review'!Q119)),0,1)</x:f>
        <x:v>0</x:v>
      </x:c>
    </x:row>
    <x:row r="120" ht="24" customHeight="1">
      <x:c r="A120" s="8" t="str">
        <x:v>act_pruning_ref_low.01</x:v>
      </x:c>
      <x:c r="B120" s="8" t="n">
        <x:f>IFERROR(IF(REGEXTEST('Translation Review'!E120,"[ก-๙]"),1,0),1)</x:f>
        <x:v>0</x:v>
      </x:c>
      <x:c r="C120" s="8" t="n">
        <x:f>IF(OR('Translation Review'!F120="direct",'Translation Review'!F120="plain_english"),0,1)</x:f>
        <x:v>0</x:v>
      </x:c>
      <x:c r="D120" s="8" t="n">
        <x:f>IFERROR(IF(AND(OR(LEN('Translation Review'!P120)=21,LEN('Translation Review'!P120)=26),MID('Translation Review'!P120,6,1)="-",MID('Translation Review'!P120,9,1)="-",MID('Translation Review'!P120,12,1)="T",MID('Translation Review'!P120,15,1)=":",MID('Translation Review'!P120,18,1)=":",VALUE(MID('Translation Review'!P120,7,2))&gt;=1,VALUE(MID('Translation Review'!P120,7,2))&lt;=12,VALUE(MID('Translation Review'!P120,10,2))&gt;=1,VALUE(MID('Translation Review'!P120,10,2))&lt;=CHOOSE(VALUE(MID('Translation Review'!P120,7,2)),31,IF(AND(MOD(VALUE(MID('Translation Review'!P120,2,4)),4)=0,OR(MOD(VALUE(MID('Translation Review'!P120,2,4)),100)&lt;&gt;0,MOD(VALUE(MID('Translation Review'!P120,2,4)),400)=0)),29,28),31,30,31,30,31,31,30,31,30,31),VALUE(MID('Translation Review'!P120,13,2))&gt;=0,VALUE(MID('Translation Review'!P120,13,2))&lt;=23,VALUE(MID('Translation Review'!P120,16,2))&gt;=0,VALUE(MID('Translation Review'!P120,16,2))&lt;=59,VALUE(MID('Translation Review'!P120,19,2))&gt;=0,VALUE(MID('Translation Review'!P120,19,2))&lt;=59,OR(AND(LEN('Translation Review'!P120)=21,RIGHT('Translation Review'!P120,1)="Z"),AND(LEN('Translation Review'!P120)=26,OR(MID('Translation Review'!P120,21,1)="+",MID('Translation Review'!P120,21,1)="-"),MID('Translation Review'!P120,24,1)=":",VALUE(MID('Translation Review'!P120,22,2))&gt;=0,VALUE(MID('Translation Review'!P120,22,2))&lt;=23,VALUE(MID('Translation Review'!P120,25,2))&gt;=0,VALUE(MID('Translation Review'!P120,25,2))&lt;=59))),0,1),1)</x:f>
        <x:v>0</x:v>
      </x:c>
      <x:c r="E120" s="8" t="n">
        <x:f>IF(AND(ISNUMBER('Translation Review'!Q120),'Translation Review'!Q120&gt;0,'Translation Review'!Q120=INT('Translation Review'!Q120)),0,1)</x:f>
        <x:v>0</x:v>
      </x:c>
    </x:row>
    <x:row r="121" ht="24" customHeight="1">
      <x:c r="A121" s="8" t="str">
        <x:v>act_pruning_ref_low.02</x:v>
      </x:c>
      <x:c r="B121" s="8" t="n">
        <x:f>IFERROR(IF(REGEXTEST('Translation Review'!E121,"[ก-๙]"),1,0),1)</x:f>
        <x:v>0</x:v>
      </x:c>
      <x:c r="C121" s="8" t="n">
        <x:f>IF(OR('Translation Review'!F121="direct",'Translation Review'!F121="plain_english"),0,1)</x:f>
        <x:v>0</x:v>
      </x:c>
      <x:c r="D121" s="8" t="n">
        <x:f>IFERROR(IF(AND(OR(LEN('Translation Review'!P121)=21,LEN('Translation Review'!P121)=26),MID('Translation Review'!P121,6,1)="-",MID('Translation Review'!P121,9,1)="-",MID('Translation Review'!P121,12,1)="T",MID('Translation Review'!P121,15,1)=":",MID('Translation Review'!P121,18,1)=":",VALUE(MID('Translation Review'!P121,7,2))&gt;=1,VALUE(MID('Translation Review'!P121,7,2))&lt;=12,VALUE(MID('Translation Review'!P121,10,2))&gt;=1,VALUE(MID('Translation Review'!P121,10,2))&lt;=CHOOSE(VALUE(MID('Translation Review'!P121,7,2)),31,IF(AND(MOD(VALUE(MID('Translation Review'!P121,2,4)),4)=0,OR(MOD(VALUE(MID('Translation Review'!P121,2,4)),100)&lt;&gt;0,MOD(VALUE(MID('Translation Review'!P121,2,4)),400)=0)),29,28),31,30,31,30,31,31,30,31,30,31),VALUE(MID('Translation Review'!P121,13,2))&gt;=0,VALUE(MID('Translation Review'!P121,13,2))&lt;=23,VALUE(MID('Translation Review'!P121,16,2))&gt;=0,VALUE(MID('Translation Review'!P121,16,2))&lt;=59,VALUE(MID('Translation Review'!P121,19,2))&gt;=0,VALUE(MID('Translation Review'!P121,19,2))&lt;=59,OR(AND(LEN('Translation Review'!P121)=21,RIGHT('Translation Review'!P121,1)="Z"),AND(LEN('Translation Review'!P121)=26,OR(MID('Translation Review'!P121,21,1)="+",MID('Translation Review'!P121,21,1)="-"),MID('Translation Review'!P121,24,1)=":",VALUE(MID('Translation Review'!P121,22,2))&gt;=0,VALUE(MID('Translation Review'!P121,22,2))&lt;=23,VALUE(MID('Translation Review'!P121,25,2))&gt;=0,VALUE(MID('Translation Review'!P121,25,2))&lt;=59))),0,1),1)</x:f>
        <x:v>0</x:v>
      </x:c>
      <x:c r="E121" s="8" t="n">
        <x:f>IF(AND(ISNUMBER('Translation Review'!Q121),'Translation Review'!Q121&gt;0,'Translation Review'!Q121=INT('Translation Review'!Q121)),0,1)</x:f>
        <x:v>0</x:v>
      </x:c>
    </x:row>
    <x:row r="122" ht="24" customHeight="1">
      <x:c r="A122" s="8" t="str">
        <x:v>act_pruning_ref_medium.01</x:v>
      </x:c>
      <x:c r="B122" s="8" t="n">
        <x:f>IFERROR(IF(REGEXTEST('Translation Review'!E122,"[ก-๙]"),1,0),1)</x:f>
        <x:v>0</x:v>
      </x:c>
      <x:c r="C122" s="8" t="n">
        <x:f>IF(OR('Translation Review'!F122="direct",'Translation Review'!F122="plain_english"),0,1)</x:f>
        <x:v>0</x:v>
      </x:c>
      <x:c r="D122" s="8" t="n">
        <x:f>IFERROR(IF(AND(OR(LEN('Translation Review'!P122)=21,LEN('Translation Review'!P122)=26),MID('Translation Review'!P122,6,1)="-",MID('Translation Review'!P122,9,1)="-",MID('Translation Review'!P122,12,1)="T",MID('Translation Review'!P122,15,1)=":",MID('Translation Review'!P122,18,1)=":",VALUE(MID('Translation Review'!P122,7,2))&gt;=1,VALUE(MID('Translation Review'!P122,7,2))&lt;=12,VALUE(MID('Translation Review'!P122,10,2))&gt;=1,VALUE(MID('Translation Review'!P122,10,2))&lt;=CHOOSE(VALUE(MID('Translation Review'!P122,7,2)),31,IF(AND(MOD(VALUE(MID('Translation Review'!P122,2,4)),4)=0,OR(MOD(VALUE(MID('Translation Review'!P122,2,4)),100)&lt;&gt;0,MOD(VALUE(MID('Translation Review'!P122,2,4)),400)=0)),29,28),31,30,31,30,31,31,30,31,30,31),VALUE(MID('Translation Review'!P122,13,2))&gt;=0,VALUE(MID('Translation Review'!P122,13,2))&lt;=23,VALUE(MID('Translation Review'!P122,16,2))&gt;=0,VALUE(MID('Translation Review'!P122,16,2))&lt;=59,VALUE(MID('Translation Review'!P122,19,2))&gt;=0,VALUE(MID('Translation Review'!P122,19,2))&lt;=59,OR(AND(LEN('Translation Review'!P122)=21,RIGHT('Translation Review'!P122,1)="Z"),AND(LEN('Translation Review'!P122)=26,OR(MID('Translation Review'!P122,21,1)="+",MID('Translation Review'!P122,21,1)="-"),MID('Translation Review'!P122,24,1)=":",VALUE(MID('Translation Review'!P122,22,2))&gt;=0,VALUE(MID('Translation Review'!P122,22,2))&lt;=23,VALUE(MID('Translation Review'!P122,25,2))&gt;=0,VALUE(MID('Translation Review'!P122,25,2))&lt;=59))),0,1),1)</x:f>
        <x:v>0</x:v>
      </x:c>
      <x:c r="E122" s="8" t="n">
        <x:f>IF(AND(ISNUMBER('Translation Review'!Q122),'Translation Review'!Q122&gt;0,'Translation Review'!Q122=INT('Translation Review'!Q122)),0,1)</x:f>
        <x:v>0</x:v>
      </x:c>
    </x:row>
    <x:row r="123" ht="24" customHeight="1">
      <x:c r="A123" s="8" t="str">
        <x:v>act_pruning_ref_medium.02</x:v>
      </x:c>
      <x:c r="B123" s="8" t="n">
        <x:f>IFERROR(IF(REGEXTEST('Translation Review'!E123,"[ก-๙]"),1,0),1)</x:f>
        <x:v>0</x:v>
      </x:c>
      <x:c r="C123" s="8" t="n">
        <x:f>IF(OR('Translation Review'!F123="direct",'Translation Review'!F123="plain_english"),0,1)</x:f>
        <x:v>0</x:v>
      </x:c>
      <x:c r="D123" s="8" t="n">
        <x:f>IFERROR(IF(AND(OR(LEN('Translation Review'!P123)=21,LEN('Translation Review'!P123)=26),MID('Translation Review'!P123,6,1)="-",MID('Translation Review'!P123,9,1)="-",MID('Translation Review'!P123,12,1)="T",MID('Translation Review'!P123,15,1)=":",MID('Translation Review'!P123,18,1)=":",VALUE(MID('Translation Review'!P123,7,2))&gt;=1,VALUE(MID('Translation Review'!P123,7,2))&lt;=12,VALUE(MID('Translation Review'!P123,10,2))&gt;=1,VALUE(MID('Translation Review'!P123,10,2))&lt;=CHOOSE(VALUE(MID('Translation Review'!P123,7,2)),31,IF(AND(MOD(VALUE(MID('Translation Review'!P123,2,4)),4)=0,OR(MOD(VALUE(MID('Translation Review'!P123,2,4)),100)&lt;&gt;0,MOD(VALUE(MID('Translation Review'!P123,2,4)),400)=0)),29,28),31,30,31,30,31,31,30,31,30,31),VALUE(MID('Translation Review'!P123,13,2))&gt;=0,VALUE(MID('Translation Review'!P123,13,2))&lt;=23,VALUE(MID('Translation Review'!P123,16,2))&gt;=0,VALUE(MID('Translation Review'!P123,16,2))&lt;=59,VALUE(MID('Translation Review'!P123,19,2))&gt;=0,VALUE(MID('Translation Review'!P123,19,2))&lt;=59,OR(AND(LEN('Translation Review'!P123)=21,RIGHT('Translation Review'!P123,1)="Z"),AND(LEN('Translation Review'!P123)=26,OR(MID('Translation Review'!P123,21,1)="+",MID('Translation Review'!P123,21,1)="-"),MID('Translation Review'!P123,24,1)=":",VALUE(MID('Translation Review'!P123,22,2))&gt;=0,VALUE(MID('Translation Review'!P123,22,2))&lt;=23,VALUE(MID('Translation Review'!P123,25,2))&gt;=0,VALUE(MID('Translation Review'!P123,25,2))&lt;=59))),0,1),1)</x:f>
        <x:v>0</x:v>
      </x:c>
      <x:c r="E123" s="8" t="n">
        <x:f>IF(AND(ISNUMBER('Translation Review'!Q123),'Translation Review'!Q123&gt;0,'Translation Review'!Q123=INT('Translation Review'!Q123)),0,1)</x:f>
        <x:v>0</x:v>
      </x:c>
    </x:row>
    <x:row r="124" ht="24" customHeight="1">
      <x:c r="A124" s="8" t="str">
        <x:v>act_pruning_ref_medium.03</x:v>
      </x:c>
      <x:c r="B124" s="8" t="n">
        <x:f>IFERROR(IF(REGEXTEST('Translation Review'!E124,"[ก-๙]"),1,0),1)</x:f>
        <x:v>0</x:v>
      </x:c>
      <x:c r="C124" s="8" t="n">
        <x:f>IF(OR('Translation Review'!F124="direct",'Translation Review'!F124="plain_english"),0,1)</x:f>
        <x:v>0</x:v>
      </x:c>
      <x:c r="D124" s="8" t="n">
        <x:f>IFERROR(IF(AND(OR(LEN('Translation Review'!P124)=21,LEN('Translation Review'!P124)=26),MID('Translation Review'!P124,6,1)="-",MID('Translation Review'!P124,9,1)="-",MID('Translation Review'!P124,12,1)="T",MID('Translation Review'!P124,15,1)=":",MID('Translation Review'!P124,18,1)=":",VALUE(MID('Translation Review'!P124,7,2))&gt;=1,VALUE(MID('Translation Review'!P124,7,2))&lt;=12,VALUE(MID('Translation Review'!P124,10,2))&gt;=1,VALUE(MID('Translation Review'!P124,10,2))&lt;=CHOOSE(VALUE(MID('Translation Review'!P124,7,2)),31,IF(AND(MOD(VALUE(MID('Translation Review'!P124,2,4)),4)=0,OR(MOD(VALUE(MID('Translation Review'!P124,2,4)),100)&lt;&gt;0,MOD(VALUE(MID('Translation Review'!P124,2,4)),400)=0)),29,28),31,30,31,30,31,31,30,31,30,31),VALUE(MID('Translation Review'!P124,13,2))&gt;=0,VALUE(MID('Translation Review'!P124,13,2))&lt;=23,VALUE(MID('Translation Review'!P124,16,2))&gt;=0,VALUE(MID('Translation Review'!P124,16,2))&lt;=59,VALUE(MID('Translation Review'!P124,19,2))&gt;=0,VALUE(MID('Translation Review'!P124,19,2))&lt;=59,OR(AND(LEN('Translation Review'!P124)=21,RIGHT('Translation Review'!P124,1)="Z"),AND(LEN('Translation Review'!P124)=26,OR(MID('Translation Review'!P124,21,1)="+",MID('Translation Review'!P124,21,1)="-"),MID('Translation Review'!P124,24,1)=":",VALUE(MID('Translation Review'!P124,22,2))&gt;=0,VALUE(MID('Translation Review'!P124,22,2))&lt;=23,VALUE(MID('Translation Review'!P124,25,2))&gt;=0,VALUE(MID('Translation Review'!P124,25,2))&lt;=59))),0,1),1)</x:f>
        <x:v>0</x:v>
      </x:c>
      <x:c r="E124" s="8" t="n">
        <x:f>IF(AND(ISNUMBER('Translation Review'!Q124),'Translation Review'!Q124&gt;0,'Translation Review'!Q124=INT('Translation Review'!Q124)),0,1)</x:f>
        <x:v>0</x:v>
      </x:c>
    </x:row>
    <x:row r="125" ht="24" customHeight="1">
      <x:c r="A125" s="8" t="str">
        <x:v>act_pruning_ref_medium.04</x:v>
      </x:c>
      <x:c r="B125" s="8" t="n">
        <x:f>IFERROR(IF(REGEXTEST('Translation Review'!E125,"[ก-๙]"),1,0),1)</x:f>
        <x:v>0</x:v>
      </x:c>
      <x:c r="C125" s="8" t="n">
        <x:f>IF(OR('Translation Review'!F125="direct",'Translation Review'!F125="plain_english"),0,1)</x:f>
        <x:v>0</x:v>
      </x:c>
      <x:c r="D125" s="8" t="n">
        <x:f>IFERROR(IF(AND(OR(LEN('Translation Review'!P125)=21,LEN('Translation Review'!P125)=26),MID('Translation Review'!P125,6,1)="-",MID('Translation Review'!P125,9,1)="-",MID('Translation Review'!P125,12,1)="T",MID('Translation Review'!P125,15,1)=":",MID('Translation Review'!P125,18,1)=":",VALUE(MID('Translation Review'!P125,7,2))&gt;=1,VALUE(MID('Translation Review'!P125,7,2))&lt;=12,VALUE(MID('Translation Review'!P125,10,2))&gt;=1,VALUE(MID('Translation Review'!P125,10,2))&lt;=CHOOSE(VALUE(MID('Translation Review'!P125,7,2)),31,IF(AND(MOD(VALUE(MID('Translation Review'!P125,2,4)),4)=0,OR(MOD(VALUE(MID('Translation Review'!P125,2,4)),100)&lt;&gt;0,MOD(VALUE(MID('Translation Review'!P125,2,4)),400)=0)),29,28),31,30,31,30,31,31,30,31,30,31),VALUE(MID('Translation Review'!P125,13,2))&gt;=0,VALUE(MID('Translation Review'!P125,13,2))&lt;=23,VALUE(MID('Translation Review'!P125,16,2))&gt;=0,VALUE(MID('Translation Review'!P125,16,2))&lt;=59,VALUE(MID('Translation Review'!P125,19,2))&gt;=0,VALUE(MID('Translation Review'!P125,19,2))&lt;=59,OR(AND(LEN('Translation Review'!P125)=21,RIGHT('Translation Review'!P125,1)="Z"),AND(LEN('Translation Review'!P125)=26,OR(MID('Translation Review'!P125,21,1)="+",MID('Translation Review'!P125,21,1)="-"),MID('Translation Review'!P125,24,1)=":",VALUE(MID('Translation Review'!P125,22,2))&gt;=0,VALUE(MID('Translation Review'!P125,22,2))&lt;=23,VALUE(MID('Translation Review'!P125,25,2))&gt;=0,VALUE(MID('Translation Review'!P125,25,2))&lt;=59))),0,1),1)</x:f>
        <x:v>0</x:v>
      </x:c>
      <x:c r="E125" s="8" t="n">
        <x:f>IF(AND(ISNUMBER('Translation Review'!Q125),'Translation Review'!Q125&gt;0,'Translation Review'!Q125=INT('Translation Review'!Q125)),0,1)</x:f>
        <x:v>0</x:v>
      </x:c>
    </x:row>
    <x:row r="126" ht="24" customHeight="1">
      <x:c r="A126" s="8" t="str">
        <x:v>act_reduce_arm_raise.01</x:v>
      </x:c>
      <x:c r="B126" s="8" t="n">
        <x:f>IFERROR(IF(REGEXTEST('Translation Review'!E126,"[ก-๙]"),1,0),1)</x:f>
        <x:v>0</x:v>
      </x:c>
      <x:c r="C126" s="8" t="n">
        <x:f>IF(OR('Translation Review'!F126="direct",'Translation Review'!F126="plain_english"),0,1)</x:f>
        <x:v>0</x:v>
      </x:c>
      <x:c r="D126" s="8" t="n">
        <x:f>IFERROR(IF(AND(OR(LEN('Translation Review'!P126)=21,LEN('Translation Review'!P126)=26),MID('Translation Review'!P126,6,1)="-",MID('Translation Review'!P126,9,1)="-",MID('Translation Review'!P126,12,1)="T",MID('Translation Review'!P126,15,1)=":",MID('Translation Review'!P126,18,1)=":",VALUE(MID('Translation Review'!P126,7,2))&gt;=1,VALUE(MID('Translation Review'!P126,7,2))&lt;=12,VALUE(MID('Translation Review'!P126,10,2))&gt;=1,VALUE(MID('Translation Review'!P126,10,2))&lt;=CHOOSE(VALUE(MID('Translation Review'!P126,7,2)),31,IF(AND(MOD(VALUE(MID('Translation Review'!P126,2,4)),4)=0,OR(MOD(VALUE(MID('Translation Review'!P126,2,4)),100)&lt;&gt;0,MOD(VALUE(MID('Translation Review'!P126,2,4)),400)=0)),29,28),31,30,31,30,31,31,30,31,30,31),VALUE(MID('Translation Review'!P126,13,2))&gt;=0,VALUE(MID('Translation Review'!P126,13,2))&lt;=23,VALUE(MID('Translation Review'!P126,16,2))&gt;=0,VALUE(MID('Translation Review'!P126,16,2))&lt;=59,VALUE(MID('Translation Review'!P126,19,2))&gt;=0,VALUE(MID('Translation Review'!P126,19,2))&lt;=59,OR(AND(LEN('Translation Review'!P126)=21,RIGHT('Translation Review'!P126,1)="Z"),AND(LEN('Translation Review'!P126)=26,OR(MID('Translation Review'!P126,21,1)="+",MID('Translation Review'!P126,21,1)="-"),MID('Translation Review'!P126,24,1)=":",VALUE(MID('Translation Review'!P126,22,2))&gt;=0,VALUE(MID('Translation Review'!P126,22,2))&lt;=23,VALUE(MID('Translation Review'!P126,25,2))&gt;=0,VALUE(MID('Translation Review'!P126,25,2))&lt;=59))),0,1),1)</x:f>
        <x:v>0</x:v>
      </x:c>
      <x:c r="E126" s="8" t="n">
        <x:f>IF(AND(ISNUMBER('Translation Review'!Q126),'Translation Review'!Q126&gt;0,'Translation Review'!Q126=INT('Translation Review'!Q126)),0,1)</x:f>
        <x:v>0</x:v>
      </x:c>
    </x:row>
    <x:row r="127" ht="24" customHeight="1">
      <x:c r="A127" s="8" t="str">
        <x:v>act_reduce_load_tool.01</x:v>
      </x:c>
      <x:c r="B127" s="8" t="n">
        <x:f>IFERROR(IF(REGEXTEST('Translation Review'!E127,"[ก-๙]"),1,0),1)</x:f>
        <x:v>0</x:v>
      </x:c>
      <x:c r="C127" s="8" t="n">
        <x:f>IF(OR('Translation Review'!F127="direct",'Translation Review'!F127="plain_english"),0,1)</x:f>
        <x:v>0</x:v>
      </x:c>
      <x:c r="D127" s="8" t="n">
        <x:f>IFERROR(IF(AND(OR(LEN('Translation Review'!P127)=21,LEN('Translation Review'!P127)=26),MID('Translation Review'!P127,6,1)="-",MID('Translation Review'!P127,9,1)="-",MID('Translation Review'!P127,12,1)="T",MID('Translation Review'!P127,15,1)=":",MID('Translation Review'!P127,18,1)=":",VALUE(MID('Translation Review'!P127,7,2))&gt;=1,VALUE(MID('Translation Review'!P127,7,2))&lt;=12,VALUE(MID('Translation Review'!P127,10,2))&gt;=1,VALUE(MID('Translation Review'!P127,10,2))&lt;=CHOOSE(VALUE(MID('Translation Review'!P127,7,2)),31,IF(AND(MOD(VALUE(MID('Translation Review'!P127,2,4)),4)=0,OR(MOD(VALUE(MID('Translation Review'!P127,2,4)),100)&lt;&gt;0,MOD(VALUE(MID('Translation Review'!P127,2,4)),400)=0)),29,28),31,30,31,30,31,31,30,31,30,31),VALUE(MID('Translation Review'!P127,13,2))&gt;=0,VALUE(MID('Translation Review'!P127,13,2))&lt;=23,VALUE(MID('Translation Review'!P127,16,2))&gt;=0,VALUE(MID('Translation Review'!P127,16,2))&lt;=59,VALUE(MID('Translation Review'!P127,19,2))&gt;=0,VALUE(MID('Translation Review'!P127,19,2))&lt;=59,OR(AND(LEN('Translation Review'!P127)=21,RIGHT('Translation Review'!P127,1)="Z"),AND(LEN('Translation Review'!P127)=26,OR(MID('Translation Review'!P127,21,1)="+",MID('Translation Review'!P127,21,1)="-"),MID('Translation Review'!P127,24,1)=":",VALUE(MID('Translation Review'!P127,22,2))&gt;=0,VALUE(MID('Translation Review'!P127,22,2))&lt;=23,VALUE(MID('Translation Review'!P127,25,2))&gt;=0,VALUE(MID('Translation Review'!P127,25,2))&lt;=59))),0,1),1)</x:f>
        <x:v>0</x:v>
      </x:c>
      <x:c r="E127" s="8" t="n">
        <x:f>IF(AND(ISNUMBER('Translation Review'!Q127),'Translation Review'!Q127&gt;0,'Translation Review'!Q127=INT('Translation Review'!Q127)),0,1)</x:f>
        <x:v>0</x:v>
      </x:c>
    </x:row>
    <x:row r="128" ht="24" customHeight="1">
      <x:c r="A128" s="8" t="str">
        <x:v>act_reduce_weight.01</x:v>
      </x:c>
      <x:c r="B128" s="8" t="n">
        <x:f>IFERROR(IF(REGEXTEST('Translation Review'!E128,"[ก-๙]"),1,0),1)</x:f>
        <x:v>0</x:v>
      </x:c>
      <x:c r="C128" s="8" t="n">
        <x:f>IF(OR('Translation Review'!F128="direct",'Translation Review'!F128="plain_english"),0,1)</x:f>
        <x:v>0</x:v>
      </x:c>
      <x:c r="D128" s="8" t="n">
        <x:f>IFERROR(IF(AND(OR(LEN('Translation Review'!P128)=21,LEN('Translation Review'!P128)=26),MID('Translation Review'!P128,6,1)="-",MID('Translation Review'!P128,9,1)="-",MID('Translation Review'!P128,12,1)="T",MID('Translation Review'!P128,15,1)=":",MID('Translation Review'!P128,18,1)=":",VALUE(MID('Translation Review'!P128,7,2))&gt;=1,VALUE(MID('Translation Review'!P128,7,2))&lt;=12,VALUE(MID('Translation Review'!P128,10,2))&gt;=1,VALUE(MID('Translation Review'!P128,10,2))&lt;=CHOOSE(VALUE(MID('Translation Review'!P128,7,2)),31,IF(AND(MOD(VALUE(MID('Translation Review'!P128,2,4)),4)=0,OR(MOD(VALUE(MID('Translation Review'!P128,2,4)),100)&lt;&gt;0,MOD(VALUE(MID('Translation Review'!P128,2,4)),400)=0)),29,28),31,30,31,30,31,31,30,31,30,31),VALUE(MID('Translation Review'!P128,13,2))&gt;=0,VALUE(MID('Translation Review'!P128,13,2))&lt;=23,VALUE(MID('Translation Review'!P128,16,2))&gt;=0,VALUE(MID('Translation Review'!P128,16,2))&lt;=59,VALUE(MID('Translation Review'!P128,19,2))&gt;=0,VALUE(MID('Translation Review'!P128,19,2))&lt;=59,OR(AND(LEN('Translation Review'!P128)=21,RIGHT('Translation Review'!P128,1)="Z"),AND(LEN('Translation Review'!P128)=26,OR(MID('Translation Review'!P128,21,1)="+",MID('Translation Review'!P128,21,1)="-"),MID('Translation Review'!P128,24,1)=":",VALUE(MID('Translation Review'!P128,22,2))&gt;=0,VALUE(MID('Translation Review'!P128,22,2))&lt;=23,VALUE(MID('Translation Review'!P128,25,2))&gt;=0,VALUE(MID('Translation Review'!P128,25,2))&lt;=59))),0,1),1)</x:f>
        <x:v>0</x:v>
      </x:c>
      <x:c r="E128" s="8" t="n">
        <x:f>IF(AND(ISNUMBER('Translation Review'!Q128),'Translation Review'!Q128&gt;0,'Translation Review'!Q128=INT('Translation Review'!Q128)),0,1)</x:f>
        <x:v>0</x:v>
      </x:c>
    </x:row>
    <x:row r="129" ht="24" customHeight="1">
      <x:c r="A129" s="8" t="str">
        <x:v>act_ref_weight_high.01</x:v>
      </x:c>
      <x:c r="B129" s="8" t="n">
        <x:f>IFERROR(IF(REGEXTEST('Translation Review'!E129,"[ก-๙]"),1,0),1)</x:f>
        <x:v>0</x:v>
      </x:c>
      <x:c r="C129" s="8" t="n">
        <x:f>IF(OR('Translation Review'!F129="direct",'Translation Review'!F129="plain_english"),0,1)</x:f>
        <x:v>0</x:v>
      </x:c>
      <x:c r="D129" s="8" t="n">
        <x:f>IFERROR(IF(AND(OR(LEN('Translation Review'!P129)=21,LEN('Translation Review'!P129)=26),MID('Translation Review'!P129,6,1)="-",MID('Translation Review'!P129,9,1)="-",MID('Translation Review'!P129,12,1)="T",MID('Translation Review'!P129,15,1)=":",MID('Translation Review'!P129,18,1)=":",VALUE(MID('Translation Review'!P129,7,2))&gt;=1,VALUE(MID('Translation Review'!P129,7,2))&lt;=12,VALUE(MID('Translation Review'!P129,10,2))&gt;=1,VALUE(MID('Translation Review'!P129,10,2))&lt;=CHOOSE(VALUE(MID('Translation Review'!P129,7,2)),31,IF(AND(MOD(VALUE(MID('Translation Review'!P129,2,4)),4)=0,OR(MOD(VALUE(MID('Translation Review'!P129,2,4)),100)&lt;&gt;0,MOD(VALUE(MID('Translation Review'!P129,2,4)),400)=0)),29,28),31,30,31,30,31,31,30,31,30,31),VALUE(MID('Translation Review'!P129,13,2))&gt;=0,VALUE(MID('Translation Review'!P129,13,2))&lt;=23,VALUE(MID('Translation Review'!P129,16,2))&gt;=0,VALUE(MID('Translation Review'!P129,16,2))&lt;=59,VALUE(MID('Translation Review'!P129,19,2))&gt;=0,VALUE(MID('Translation Review'!P129,19,2))&lt;=59,OR(AND(LEN('Translation Review'!P129)=21,RIGHT('Translation Review'!P129,1)="Z"),AND(LEN('Translation Review'!P129)=26,OR(MID('Translation Review'!P129,21,1)="+",MID('Translation Review'!P129,21,1)="-"),MID('Translation Review'!P129,24,1)=":",VALUE(MID('Translation Review'!P129,22,2))&gt;=0,VALUE(MID('Translation Review'!P129,22,2))&lt;=23,VALUE(MID('Translation Review'!P129,25,2))&gt;=0,VALUE(MID('Translation Review'!P129,25,2))&lt;=59))),0,1),1)</x:f>
        <x:v>0</x:v>
      </x:c>
      <x:c r="E129" s="8" t="n">
        <x:f>IF(AND(ISNUMBER('Translation Review'!Q129),'Translation Review'!Q129&gt;0,'Translation Review'!Q129=INT('Translation Review'!Q129)),0,1)</x:f>
        <x:v>0</x:v>
      </x:c>
    </x:row>
    <x:row r="130" ht="24" customHeight="1">
      <x:c r="A130" s="8" t="str">
        <x:v>act_ref_weight_high.02</x:v>
      </x:c>
      <x:c r="B130" s="8" t="n">
        <x:f>IFERROR(IF(REGEXTEST('Translation Review'!E130,"[ก-๙]"),1,0),1)</x:f>
        <x:v>0</x:v>
      </x:c>
      <x:c r="C130" s="8" t="n">
        <x:f>IF(OR('Translation Review'!F130="direct",'Translation Review'!F130="plain_english"),0,1)</x:f>
        <x:v>0</x:v>
      </x:c>
      <x:c r="D130" s="8" t="n">
        <x:f>IFERROR(IF(AND(OR(LEN('Translation Review'!P130)=21,LEN('Translation Review'!P130)=26),MID('Translation Review'!P130,6,1)="-",MID('Translation Review'!P130,9,1)="-",MID('Translation Review'!P130,12,1)="T",MID('Translation Review'!P130,15,1)=":",MID('Translation Review'!P130,18,1)=":",VALUE(MID('Translation Review'!P130,7,2))&gt;=1,VALUE(MID('Translation Review'!P130,7,2))&lt;=12,VALUE(MID('Translation Review'!P130,10,2))&gt;=1,VALUE(MID('Translation Review'!P130,10,2))&lt;=CHOOSE(VALUE(MID('Translation Review'!P130,7,2)),31,IF(AND(MOD(VALUE(MID('Translation Review'!P130,2,4)),4)=0,OR(MOD(VALUE(MID('Translation Review'!P130,2,4)),100)&lt;&gt;0,MOD(VALUE(MID('Translation Review'!P130,2,4)),400)=0)),29,28),31,30,31,30,31,31,30,31,30,31),VALUE(MID('Translation Review'!P130,13,2))&gt;=0,VALUE(MID('Translation Review'!P130,13,2))&lt;=23,VALUE(MID('Translation Review'!P130,16,2))&gt;=0,VALUE(MID('Translation Review'!P130,16,2))&lt;=59,VALUE(MID('Translation Review'!P130,19,2))&gt;=0,VALUE(MID('Translation Review'!P130,19,2))&lt;=59,OR(AND(LEN('Translation Review'!P130)=21,RIGHT('Translation Review'!P130,1)="Z"),AND(LEN('Translation Review'!P130)=26,OR(MID('Translation Review'!P130,21,1)="+",MID('Translation Review'!P130,21,1)="-"),MID('Translation Review'!P130,24,1)=":",VALUE(MID('Translation Review'!P130,22,2))&gt;=0,VALUE(MID('Translation Review'!P130,22,2))&lt;=23,VALUE(MID('Translation Review'!P130,25,2))&gt;=0,VALUE(MID('Translation Review'!P130,25,2))&lt;=59))),0,1),1)</x:f>
        <x:v>0</x:v>
      </x:c>
      <x:c r="E130" s="8" t="n">
        <x:f>IF(AND(ISNUMBER('Translation Review'!Q130),'Translation Review'!Q130&gt;0,'Translation Review'!Q130=INT('Translation Review'!Q130)),0,1)</x:f>
        <x:v>0</x:v>
      </x:c>
    </x:row>
    <x:row r="131" ht="24" customHeight="1">
      <x:c r="A131" s="8" t="str">
        <x:v>act_ref_weight_high.03</x:v>
      </x:c>
      <x:c r="B131" s="8" t="n">
        <x:f>IFERROR(IF(REGEXTEST('Translation Review'!E131,"[ก-๙]"),1,0),1)</x:f>
        <x:v>0</x:v>
      </x:c>
      <x:c r="C131" s="8" t="n">
        <x:f>IF(OR('Translation Review'!F131="direct",'Translation Review'!F131="plain_english"),0,1)</x:f>
        <x:v>0</x:v>
      </x:c>
      <x:c r="D131" s="8" t="n">
        <x:f>IFERROR(IF(AND(OR(LEN('Translation Review'!P131)=21,LEN('Translation Review'!P131)=26),MID('Translation Review'!P131,6,1)="-",MID('Translation Review'!P131,9,1)="-",MID('Translation Review'!P131,12,1)="T",MID('Translation Review'!P131,15,1)=":",MID('Translation Review'!P131,18,1)=":",VALUE(MID('Translation Review'!P131,7,2))&gt;=1,VALUE(MID('Translation Review'!P131,7,2))&lt;=12,VALUE(MID('Translation Review'!P131,10,2))&gt;=1,VALUE(MID('Translation Review'!P131,10,2))&lt;=CHOOSE(VALUE(MID('Translation Review'!P131,7,2)),31,IF(AND(MOD(VALUE(MID('Translation Review'!P131,2,4)),4)=0,OR(MOD(VALUE(MID('Translation Review'!P131,2,4)),100)&lt;&gt;0,MOD(VALUE(MID('Translation Review'!P131,2,4)),400)=0)),29,28),31,30,31,30,31,31,30,31,30,31),VALUE(MID('Translation Review'!P131,13,2))&gt;=0,VALUE(MID('Translation Review'!P131,13,2))&lt;=23,VALUE(MID('Translation Review'!P131,16,2))&gt;=0,VALUE(MID('Translation Review'!P131,16,2))&lt;=59,VALUE(MID('Translation Review'!P131,19,2))&gt;=0,VALUE(MID('Translation Review'!P131,19,2))&lt;=59,OR(AND(LEN('Translation Review'!P131)=21,RIGHT('Translation Review'!P131,1)="Z"),AND(LEN('Translation Review'!P131)=26,OR(MID('Translation Review'!P131,21,1)="+",MID('Translation Review'!P131,21,1)="-"),MID('Translation Review'!P131,24,1)=":",VALUE(MID('Translation Review'!P131,22,2))&gt;=0,VALUE(MID('Translation Review'!P131,22,2))&lt;=23,VALUE(MID('Translation Review'!P131,25,2))&gt;=0,VALUE(MID('Translation Review'!P131,25,2))&lt;=59))),0,1),1)</x:f>
        <x:v>0</x:v>
      </x:c>
      <x:c r="E131" s="8" t="n">
        <x:f>IF(AND(ISNUMBER('Translation Review'!Q131),'Translation Review'!Q131&gt;0,'Translation Review'!Q131=INT('Translation Review'!Q131)),0,1)</x:f>
        <x:v>0</x:v>
      </x:c>
    </x:row>
    <x:row r="132" ht="24" customHeight="1">
      <x:c r="A132" s="8" t="str">
        <x:v>act_ref_weight_high.04</x:v>
      </x:c>
      <x:c r="B132" s="8" t="n">
        <x:f>IFERROR(IF(REGEXTEST('Translation Review'!E132,"[ก-๙]"),1,0),1)</x:f>
        <x:v>0</x:v>
      </x:c>
      <x:c r="C132" s="8" t="n">
        <x:f>IF(OR('Translation Review'!F132="direct",'Translation Review'!F132="plain_english"),0,1)</x:f>
        <x:v>0</x:v>
      </x:c>
      <x:c r="D132" s="8" t="n">
        <x:f>IFERROR(IF(AND(OR(LEN('Translation Review'!P132)=21,LEN('Translation Review'!P132)=26),MID('Translation Review'!P132,6,1)="-",MID('Translation Review'!P132,9,1)="-",MID('Translation Review'!P132,12,1)="T",MID('Translation Review'!P132,15,1)=":",MID('Translation Review'!P132,18,1)=":",VALUE(MID('Translation Review'!P132,7,2))&gt;=1,VALUE(MID('Translation Review'!P132,7,2))&lt;=12,VALUE(MID('Translation Review'!P132,10,2))&gt;=1,VALUE(MID('Translation Review'!P132,10,2))&lt;=CHOOSE(VALUE(MID('Translation Review'!P132,7,2)),31,IF(AND(MOD(VALUE(MID('Translation Review'!P132,2,4)),4)=0,OR(MOD(VALUE(MID('Translation Review'!P132,2,4)),100)&lt;&gt;0,MOD(VALUE(MID('Translation Review'!P132,2,4)),400)=0)),29,28),31,30,31,30,31,31,30,31,30,31),VALUE(MID('Translation Review'!P132,13,2))&gt;=0,VALUE(MID('Translation Review'!P132,13,2))&lt;=23,VALUE(MID('Translation Review'!P132,16,2))&gt;=0,VALUE(MID('Translation Review'!P132,16,2))&lt;=59,VALUE(MID('Translation Review'!P132,19,2))&gt;=0,VALUE(MID('Translation Review'!P132,19,2))&lt;=59,OR(AND(LEN('Translation Review'!P132)=21,RIGHT('Translation Review'!P132,1)="Z"),AND(LEN('Translation Review'!P132)=26,OR(MID('Translation Review'!P132,21,1)="+",MID('Translation Review'!P132,21,1)="-"),MID('Translation Review'!P132,24,1)=":",VALUE(MID('Translation Review'!P132,22,2))&gt;=0,VALUE(MID('Translation Review'!P132,22,2))&lt;=23,VALUE(MID('Translation Review'!P132,25,2))&gt;=0,VALUE(MID('Translation Review'!P132,25,2))&lt;=59))),0,1),1)</x:f>
        <x:v>0</x:v>
      </x:c>
      <x:c r="E132" s="8" t="n">
        <x:f>IF(AND(ISNUMBER('Translation Review'!Q132),'Translation Review'!Q132&gt;0,'Translation Review'!Q132=INT('Translation Review'!Q132)),0,1)</x:f>
        <x:v>0</x:v>
      </x:c>
    </x:row>
    <x:row r="133" ht="24" customHeight="1">
      <x:c r="A133" s="8" t="str">
        <x:v>act_ref_weight_high.05</x:v>
      </x:c>
      <x:c r="B133" s="8" t="n">
        <x:f>IFERROR(IF(REGEXTEST('Translation Review'!E133,"[ก-๙]"),1,0),1)</x:f>
        <x:v>0</x:v>
      </x:c>
      <x:c r="C133" s="8" t="n">
        <x:f>IF(OR('Translation Review'!F133="direct",'Translation Review'!F133="plain_english"),0,1)</x:f>
        <x:v>0</x:v>
      </x:c>
      <x:c r="D133" s="8" t="n">
        <x:f>IFERROR(IF(AND(OR(LEN('Translation Review'!P133)=21,LEN('Translation Review'!P133)=26),MID('Translation Review'!P133,6,1)="-",MID('Translation Review'!P133,9,1)="-",MID('Translation Review'!P133,12,1)="T",MID('Translation Review'!P133,15,1)=":",MID('Translation Review'!P133,18,1)=":",VALUE(MID('Translation Review'!P133,7,2))&gt;=1,VALUE(MID('Translation Review'!P133,7,2))&lt;=12,VALUE(MID('Translation Review'!P133,10,2))&gt;=1,VALUE(MID('Translation Review'!P133,10,2))&lt;=CHOOSE(VALUE(MID('Translation Review'!P133,7,2)),31,IF(AND(MOD(VALUE(MID('Translation Review'!P133,2,4)),4)=0,OR(MOD(VALUE(MID('Translation Review'!P133,2,4)),100)&lt;&gt;0,MOD(VALUE(MID('Translation Review'!P133,2,4)),400)=0)),29,28),31,30,31,30,31,31,30,31,30,31),VALUE(MID('Translation Review'!P133,13,2))&gt;=0,VALUE(MID('Translation Review'!P133,13,2))&lt;=23,VALUE(MID('Translation Review'!P133,16,2))&gt;=0,VALUE(MID('Translation Review'!P133,16,2))&lt;=59,VALUE(MID('Translation Review'!P133,19,2))&gt;=0,VALUE(MID('Translation Review'!P133,19,2))&lt;=59,OR(AND(LEN('Translation Review'!P133)=21,RIGHT('Translation Review'!P133,1)="Z"),AND(LEN('Translation Review'!P133)=26,OR(MID('Translation Review'!P133,21,1)="+",MID('Translation Review'!P133,21,1)="-"),MID('Translation Review'!P133,24,1)=":",VALUE(MID('Translation Review'!P133,22,2))&gt;=0,VALUE(MID('Translation Review'!P133,22,2))&lt;=23,VALUE(MID('Translation Review'!P133,25,2))&gt;=0,VALUE(MID('Translation Review'!P133,25,2))&lt;=59))),0,1),1)</x:f>
        <x:v>0</x:v>
      </x:c>
      <x:c r="E133" s="8" t="n">
        <x:f>IF(AND(ISNUMBER('Translation Review'!Q133),'Translation Review'!Q133&gt;0,'Translation Review'!Q133=INT('Translation Review'!Q133)),0,1)</x:f>
        <x:v>0</x:v>
      </x:c>
    </x:row>
    <x:row r="134" ht="24" customHeight="1">
      <x:c r="A134" s="8" t="str">
        <x:v>act_ref_weight_low.01</x:v>
      </x:c>
      <x:c r="B134" s="8" t="n">
        <x:f>IFERROR(IF(REGEXTEST('Translation Review'!E134,"[ก-๙]"),1,0),1)</x:f>
        <x:v>0</x:v>
      </x:c>
      <x:c r="C134" s="8" t="n">
        <x:f>IF(OR('Translation Review'!F134="direct",'Translation Review'!F134="plain_english"),0,1)</x:f>
        <x:v>0</x:v>
      </x:c>
      <x:c r="D134" s="8" t="n">
        <x:f>IFERROR(IF(AND(OR(LEN('Translation Review'!P134)=21,LEN('Translation Review'!P134)=26),MID('Translation Review'!P134,6,1)="-",MID('Translation Review'!P134,9,1)="-",MID('Translation Review'!P134,12,1)="T",MID('Translation Review'!P134,15,1)=":",MID('Translation Review'!P134,18,1)=":",VALUE(MID('Translation Review'!P134,7,2))&gt;=1,VALUE(MID('Translation Review'!P134,7,2))&lt;=12,VALUE(MID('Translation Review'!P134,10,2))&gt;=1,VALUE(MID('Translation Review'!P134,10,2))&lt;=CHOOSE(VALUE(MID('Translation Review'!P134,7,2)),31,IF(AND(MOD(VALUE(MID('Translation Review'!P134,2,4)),4)=0,OR(MOD(VALUE(MID('Translation Review'!P134,2,4)),100)&lt;&gt;0,MOD(VALUE(MID('Translation Review'!P134,2,4)),400)=0)),29,28),31,30,31,30,31,31,30,31,30,31),VALUE(MID('Translation Review'!P134,13,2))&gt;=0,VALUE(MID('Translation Review'!P134,13,2))&lt;=23,VALUE(MID('Translation Review'!P134,16,2))&gt;=0,VALUE(MID('Translation Review'!P134,16,2))&lt;=59,VALUE(MID('Translation Review'!P134,19,2))&gt;=0,VALUE(MID('Translation Review'!P134,19,2))&lt;=59,OR(AND(LEN('Translation Review'!P134)=21,RIGHT('Translation Review'!P134,1)="Z"),AND(LEN('Translation Review'!P134)=26,OR(MID('Translation Review'!P134,21,1)="+",MID('Translation Review'!P134,21,1)="-"),MID('Translation Review'!P134,24,1)=":",VALUE(MID('Translation Review'!P134,22,2))&gt;=0,VALUE(MID('Translation Review'!P134,22,2))&lt;=23,VALUE(MID('Translation Review'!P134,25,2))&gt;=0,VALUE(MID('Translation Review'!P134,25,2))&lt;=59))),0,1),1)</x:f>
        <x:v>0</x:v>
      </x:c>
      <x:c r="E134" s="8" t="n">
        <x:f>IF(AND(ISNUMBER('Translation Review'!Q134),'Translation Review'!Q134&gt;0,'Translation Review'!Q134=INT('Translation Review'!Q134)),0,1)</x:f>
        <x:v>0</x:v>
      </x:c>
    </x:row>
    <x:row r="135" ht="24" customHeight="1">
      <x:c r="A135" s="8" t="str">
        <x:v>act_ref_weight_low.02</x:v>
      </x:c>
      <x:c r="B135" s="8" t="n">
        <x:f>IFERROR(IF(REGEXTEST('Translation Review'!E135,"[ก-๙]"),1,0),1)</x:f>
        <x:v>0</x:v>
      </x:c>
      <x:c r="C135" s="8" t="n">
        <x:f>IF(OR('Translation Review'!F135="direct",'Translation Review'!F135="plain_english"),0,1)</x:f>
        <x:v>0</x:v>
      </x:c>
      <x:c r="D135" s="8" t="n">
        <x:f>IFERROR(IF(AND(OR(LEN('Translation Review'!P135)=21,LEN('Translation Review'!P135)=26),MID('Translation Review'!P135,6,1)="-",MID('Translation Review'!P135,9,1)="-",MID('Translation Review'!P135,12,1)="T",MID('Translation Review'!P135,15,1)=":",MID('Translation Review'!P135,18,1)=":",VALUE(MID('Translation Review'!P135,7,2))&gt;=1,VALUE(MID('Translation Review'!P135,7,2))&lt;=12,VALUE(MID('Translation Review'!P135,10,2))&gt;=1,VALUE(MID('Translation Review'!P135,10,2))&lt;=CHOOSE(VALUE(MID('Translation Review'!P135,7,2)),31,IF(AND(MOD(VALUE(MID('Translation Review'!P135,2,4)),4)=0,OR(MOD(VALUE(MID('Translation Review'!P135,2,4)),100)&lt;&gt;0,MOD(VALUE(MID('Translation Review'!P135,2,4)),400)=0)),29,28),31,30,31,30,31,31,30,31,30,31),VALUE(MID('Translation Review'!P135,13,2))&gt;=0,VALUE(MID('Translation Review'!P135,13,2))&lt;=23,VALUE(MID('Translation Review'!P135,16,2))&gt;=0,VALUE(MID('Translation Review'!P135,16,2))&lt;=59,VALUE(MID('Translation Review'!P135,19,2))&gt;=0,VALUE(MID('Translation Review'!P135,19,2))&lt;=59,OR(AND(LEN('Translation Review'!P135)=21,RIGHT('Translation Review'!P135,1)="Z"),AND(LEN('Translation Review'!P135)=26,OR(MID('Translation Review'!P135,21,1)="+",MID('Translation Review'!P135,21,1)="-"),MID('Translation Review'!P135,24,1)=":",VALUE(MID('Translation Review'!P135,22,2))&gt;=0,VALUE(MID('Translation Review'!P135,22,2))&lt;=23,VALUE(MID('Translation Review'!P135,25,2))&gt;=0,VALUE(MID('Translation Review'!P135,25,2))&lt;=59))),0,1),1)</x:f>
        <x:v>0</x:v>
      </x:c>
      <x:c r="E135" s="8" t="n">
        <x:f>IF(AND(ISNUMBER('Translation Review'!Q135),'Translation Review'!Q135&gt;0,'Translation Review'!Q135=INT('Translation Review'!Q135)),0,1)</x:f>
        <x:v>0</x:v>
      </x:c>
    </x:row>
    <x:row r="136" ht="24" customHeight="1">
      <x:c r="A136" s="8" t="str">
        <x:v>act_ref_weight_low.03</x:v>
      </x:c>
      <x:c r="B136" s="8" t="n">
        <x:f>IFERROR(IF(REGEXTEST('Translation Review'!E136,"[ก-๙]"),1,0),1)</x:f>
        <x:v>0</x:v>
      </x:c>
      <x:c r="C136" s="8" t="n">
        <x:f>IF(OR('Translation Review'!F136="direct",'Translation Review'!F136="plain_english"),0,1)</x:f>
        <x:v>0</x:v>
      </x:c>
      <x:c r="D136" s="8" t="n">
        <x:f>IFERROR(IF(AND(OR(LEN('Translation Review'!P136)=21,LEN('Translation Review'!P136)=26),MID('Translation Review'!P136,6,1)="-",MID('Translation Review'!P136,9,1)="-",MID('Translation Review'!P136,12,1)="T",MID('Translation Review'!P136,15,1)=":",MID('Translation Review'!P136,18,1)=":",VALUE(MID('Translation Review'!P136,7,2))&gt;=1,VALUE(MID('Translation Review'!P136,7,2))&lt;=12,VALUE(MID('Translation Review'!P136,10,2))&gt;=1,VALUE(MID('Translation Review'!P136,10,2))&lt;=CHOOSE(VALUE(MID('Translation Review'!P136,7,2)),31,IF(AND(MOD(VALUE(MID('Translation Review'!P136,2,4)),4)=0,OR(MOD(VALUE(MID('Translation Review'!P136,2,4)),100)&lt;&gt;0,MOD(VALUE(MID('Translation Review'!P136,2,4)),400)=0)),29,28),31,30,31,30,31,31,30,31,30,31),VALUE(MID('Translation Review'!P136,13,2))&gt;=0,VALUE(MID('Translation Review'!P136,13,2))&lt;=23,VALUE(MID('Translation Review'!P136,16,2))&gt;=0,VALUE(MID('Translation Review'!P136,16,2))&lt;=59,VALUE(MID('Translation Review'!P136,19,2))&gt;=0,VALUE(MID('Translation Review'!P136,19,2))&lt;=59,OR(AND(LEN('Translation Review'!P136)=21,RIGHT('Translation Review'!P136,1)="Z"),AND(LEN('Translation Review'!P136)=26,OR(MID('Translation Review'!P136,21,1)="+",MID('Translation Review'!P136,21,1)="-"),MID('Translation Review'!P136,24,1)=":",VALUE(MID('Translation Review'!P136,22,2))&gt;=0,VALUE(MID('Translation Review'!P136,22,2))&lt;=23,VALUE(MID('Translation Review'!P136,25,2))&gt;=0,VALUE(MID('Translation Review'!P136,25,2))&lt;=59))),0,1),1)</x:f>
        <x:v>0</x:v>
      </x:c>
      <x:c r="E136" s="8" t="n">
        <x:f>IF(AND(ISNUMBER('Translation Review'!Q136),'Translation Review'!Q136&gt;0,'Translation Review'!Q136=INT('Translation Review'!Q136)),0,1)</x:f>
        <x:v>0</x:v>
      </x:c>
    </x:row>
    <x:row r="137" ht="24" customHeight="1">
      <x:c r="A137" s="8" t="str">
        <x:v>act_ref_weight_low.04</x:v>
      </x:c>
      <x:c r="B137" s="8" t="n">
        <x:f>IFERROR(IF(REGEXTEST('Translation Review'!E137,"[ก-๙]"),1,0),1)</x:f>
        <x:v>0</x:v>
      </x:c>
      <x:c r="C137" s="8" t="n">
        <x:f>IF(OR('Translation Review'!F137="direct",'Translation Review'!F137="plain_english"),0,1)</x:f>
        <x:v>0</x:v>
      </x:c>
      <x:c r="D137" s="8" t="n">
        <x:f>IFERROR(IF(AND(OR(LEN('Translation Review'!P137)=21,LEN('Translation Review'!P137)=26),MID('Translation Review'!P137,6,1)="-",MID('Translation Review'!P137,9,1)="-",MID('Translation Review'!P137,12,1)="T",MID('Translation Review'!P137,15,1)=":",MID('Translation Review'!P137,18,1)=":",VALUE(MID('Translation Review'!P137,7,2))&gt;=1,VALUE(MID('Translation Review'!P137,7,2))&lt;=12,VALUE(MID('Translation Review'!P137,10,2))&gt;=1,VALUE(MID('Translation Review'!P137,10,2))&lt;=CHOOSE(VALUE(MID('Translation Review'!P137,7,2)),31,IF(AND(MOD(VALUE(MID('Translation Review'!P137,2,4)),4)=0,OR(MOD(VALUE(MID('Translation Review'!P137,2,4)),100)&lt;&gt;0,MOD(VALUE(MID('Translation Review'!P137,2,4)),400)=0)),29,28),31,30,31,30,31,31,30,31,30,31),VALUE(MID('Translation Review'!P137,13,2))&gt;=0,VALUE(MID('Translation Review'!P137,13,2))&lt;=23,VALUE(MID('Translation Review'!P137,16,2))&gt;=0,VALUE(MID('Translation Review'!P137,16,2))&lt;=59,VALUE(MID('Translation Review'!P137,19,2))&gt;=0,VALUE(MID('Translation Review'!P137,19,2))&lt;=59,OR(AND(LEN('Translation Review'!P137)=21,RIGHT('Translation Review'!P137,1)="Z"),AND(LEN('Translation Review'!P137)=26,OR(MID('Translation Review'!P137,21,1)="+",MID('Translation Review'!P137,21,1)="-"),MID('Translation Review'!P137,24,1)=":",VALUE(MID('Translation Review'!P137,22,2))&gt;=0,VALUE(MID('Translation Review'!P137,22,2))&lt;=23,VALUE(MID('Translation Review'!P137,25,2))&gt;=0,VALUE(MID('Translation Review'!P137,25,2))&lt;=59))),0,1),1)</x:f>
        <x:v>0</x:v>
      </x:c>
      <x:c r="E137" s="8" t="n">
        <x:f>IF(AND(ISNUMBER('Translation Review'!Q137),'Translation Review'!Q137&gt;0,'Translation Review'!Q137=INT('Translation Review'!Q137)),0,1)</x:f>
        <x:v>0</x:v>
      </x:c>
    </x:row>
    <x:row r="138" ht="24" customHeight="1">
      <x:c r="A138" s="8" t="str">
        <x:v>act_ref_weight_medium.01</x:v>
      </x:c>
      <x:c r="B138" s="8" t="n">
        <x:f>IFERROR(IF(REGEXTEST('Translation Review'!E138,"[ก-๙]"),1,0),1)</x:f>
        <x:v>0</x:v>
      </x:c>
      <x:c r="C138" s="8" t="n">
        <x:f>IF(OR('Translation Review'!F138="direct",'Translation Review'!F138="plain_english"),0,1)</x:f>
        <x:v>0</x:v>
      </x:c>
      <x:c r="D138" s="8" t="n">
        <x:f>IFERROR(IF(AND(OR(LEN('Translation Review'!P138)=21,LEN('Translation Review'!P138)=26),MID('Translation Review'!P138,6,1)="-",MID('Translation Review'!P138,9,1)="-",MID('Translation Review'!P138,12,1)="T",MID('Translation Review'!P138,15,1)=":",MID('Translation Review'!P138,18,1)=":",VALUE(MID('Translation Review'!P138,7,2))&gt;=1,VALUE(MID('Translation Review'!P138,7,2))&lt;=12,VALUE(MID('Translation Review'!P138,10,2))&gt;=1,VALUE(MID('Translation Review'!P138,10,2))&lt;=CHOOSE(VALUE(MID('Translation Review'!P138,7,2)),31,IF(AND(MOD(VALUE(MID('Translation Review'!P138,2,4)),4)=0,OR(MOD(VALUE(MID('Translation Review'!P138,2,4)),100)&lt;&gt;0,MOD(VALUE(MID('Translation Review'!P138,2,4)),400)=0)),29,28),31,30,31,30,31,31,30,31,30,31),VALUE(MID('Translation Review'!P138,13,2))&gt;=0,VALUE(MID('Translation Review'!P138,13,2))&lt;=23,VALUE(MID('Translation Review'!P138,16,2))&gt;=0,VALUE(MID('Translation Review'!P138,16,2))&lt;=59,VALUE(MID('Translation Review'!P138,19,2))&gt;=0,VALUE(MID('Translation Review'!P138,19,2))&lt;=59,OR(AND(LEN('Translation Review'!P138)=21,RIGHT('Translation Review'!P138,1)="Z"),AND(LEN('Translation Review'!P138)=26,OR(MID('Translation Review'!P138,21,1)="+",MID('Translation Review'!P138,21,1)="-"),MID('Translation Review'!P138,24,1)=":",VALUE(MID('Translation Review'!P138,22,2))&gt;=0,VALUE(MID('Translation Review'!P138,22,2))&lt;=23,VALUE(MID('Translation Review'!P138,25,2))&gt;=0,VALUE(MID('Translation Review'!P138,25,2))&lt;=59))),0,1),1)</x:f>
        <x:v>0</x:v>
      </x:c>
      <x:c r="E138" s="8" t="n">
        <x:f>IF(AND(ISNUMBER('Translation Review'!Q138),'Translation Review'!Q138&gt;0,'Translation Review'!Q138=INT('Translation Review'!Q138)),0,1)</x:f>
        <x:v>0</x:v>
      </x:c>
    </x:row>
    <x:row r="139" ht="24" customHeight="1">
      <x:c r="A139" s="8" t="str">
        <x:v>act_ref_weight_medium.02</x:v>
      </x:c>
      <x:c r="B139" s="8" t="n">
        <x:f>IFERROR(IF(REGEXTEST('Translation Review'!E139,"[ก-๙]"),1,0),1)</x:f>
        <x:v>0</x:v>
      </x:c>
      <x:c r="C139" s="8" t="n">
        <x:f>IF(OR('Translation Review'!F139="direct",'Translation Review'!F139="plain_english"),0,1)</x:f>
        <x:v>0</x:v>
      </x:c>
      <x:c r="D139" s="8" t="n">
        <x:f>IFERROR(IF(AND(OR(LEN('Translation Review'!P139)=21,LEN('Translation Review'!P139)=26),MID('Translation Review'!P139,6,1)="-",MID('Translation Review'!P139,9,1)="-",MID('Translation Review'!P139,12,1)="T",MID('Translation Review'!P139,15,1)=":",MID('Translation Review'!P139,18,1)=":",VALUE(MID('Translation Review'!P139,7,2))&gt;=1,VALUE(MID('Translation Review'!P139,7,2))&lt;=12,VALUE(MID('Translation Review'!P139,10,2))&gt;=1,VALUE(MID('Translation Review'!P139,10,2))&lt;=CHOOSE(VALUE(MID('Translation Review'!P139,7,2)),31,IF(AND(MOD(VALUE(MID('Translation Review'!P139,2,4)),4)=0,OR(MOD(VALUE(MID('Translation Review'!P139,2,4)),100)&lt;&gt;0,MOD(VALUE(MID('Translation Review'!P139,2,4)),400)=0)),29,28),31,30,31,30,31,31,30,31,30,31),VALUE(MID('Translation Review'!P139,13,2))&gt;=0,VALUE(MID('Translation Review'!P139,13,2))&lt;=23,VALUE(MID('Translation Review'!P139,16,2))&gt;=0,VALUE(MID('Translation Review'!P139,16,2))&lt;=59,VALUE(MID('Translation Review'!P139,19,2))&gt;=0,VALUE(MID('Translation Review'!P139,19,2))&lt;=59,OR(AND(LEN('Translation Review'!P139)=21,RIGHT('Translation Review'!P139,1)="Z"),AND(LEN('Translation Review'!P139)=26,OR(MID('Translation Review'!P139,21,1)="+",MID('Translation Review'!P139,21,1)="-"),MID('Translation Review'!P139,24,1)=":",VALUE(MID('Translation Review'!P139,22,2))&gt;=0,VALUE(MID('Translation Review'!P139,22,2))&lt;=23,VALUE(MID('Translation Review'!P139,25,2))&gt;=0,VALUE(MID('Translation Review'!P139,25,2))&lt;=59))),0,1),1)</x:f>
        <x:v>0</x:v>
      </x:c>
      <x:c r="E139" s="8" t="n">
        <x:f>IF(AND(ISNUMBER('Translation Review'!Q139),'Translation Review'!Q139&gt;0,'Translation Review'!Q139=INT('Translation Review'!Q139)),0,1)</x:f>
        <x:v>0</x:v>
      </x:c>
    </x:row>
    <x:row r="140" ht="24" customHeight="1">
      <x:c r="A140" s="8" t="str">
        <x:v>act_ref_weight_medium.03</x:v>
      </x:c>
      <x:c r="B140" s="8" t="n">
        <x:f>IFERROR(IF(REGEXTEST('Translation Review'!E140,"[ก-๙]"),1,0),1)</x:f>
        <x:v>0</x:v>
      </x:c>
      <x:c r="C140" s="8" t="n">
        <x:f>IF(OR('Translation Review'!F140="direct",'Translation Review'!F140="plain_english"),0,1)</x:f>
        <x:v>0</x:v>
      </x:c>
      <x:c r="D140" s="8" t="n">
        <x:f>IFERROR(IF(AND(OR(LEN('Translation Review'!P140)=21,LEN('Translation Review'!P140)=26),MID('Translation Review'!P140,6,1)="-",MID('Translation Review'!P140,9,1)="-",MID('Translation Review'!P140,12,1)="T",MID('Translation Review'!P140,15,1)=":",MID('Translation Review'!P140,18,1)=":",VALUE(MID('Translation Review'!P140,7,2))&gt;=1,VALUE(MID('Translation Review'!P140,7,2))&lt;=12,VALUE(MID('Translation Review'!P140,10,2))&gt;=1,VALUE(MID('Translation Review'!P140,10,2))&lt;=CHOOSE(VALUE(MID('Translation Review'!P140,7,2)),31,IF(AND(MOD(VALUE(MID('Translation Review'!P140,2,4)),4)=0,OR(MOD(VALUE(MID('Translation Review'!P140,2,4)),100)&lt;&gt;0,MOD(VALUE(MID('Translation Review'!P140,2,4)),400)=0)),29,28),31,30,31,30,31,31,30,31,30,31),VALUE(MID('Translation Review'!P140,13,2))&gt;=0,VALUE(MID('Translation Review'!P140,13,2))&lt;=23,VALUE(MID('Translation Review'!P140,16,2))&gt;=0,VALUE(MID('Translation Review'!P140,16,2))&lt;=59,VALUE(MID('Translation Review'!P140,19,2))&gt;=0,VALUE(MID('Translation Review'!P140,19,2))&lt;=59,OR(AND(LEN('Translation Review'!P140)=21,RIGHT('Translation Review'!P140,1)="Z"),AND(LEN('Translation Review'!P140)=26,OR(MID('Translation Review'!P140,21,1)="+",MID('Translation Review'!P140,21,1)="-"),MID('Translation Review'!P140,24,1)=":",VALUE(MID('Translation Review'!P140,22,2))&gt;=0,VALUE(MID('Translation Review'!P140,22,2))&lt;=23,VALUE(MID('Translation Review'!P140,25,2))&gt;=0,VALUE(MID('Translation Review'!P140,25,2))&lt;=59))),0,1),1)</x:f>
        <x:v>0</x:v>
      </x:c>
      <x:c r="E140" s="8" t="n">
        <x:f>IF(AND(ISNUMBER('Translation Review'!Q140),'Translation Review'!Q140&gt;0,'Translation Review'!Q140=INT('Translation Review'!Q140)),0,1)</x:f>
        <x:v>0</x:v>
      </x:c>
    </x:row>
    <x:row r="141" ht="24" customHeight="1">
      <x:c r="A141" s="8" t="str">
        <x:v>act_ref_weight_medium.04</x:v>
      </x:c>
      <x:c r="B141" s="8" t="n">
        <x:f>IFERROR(IF(REGEXTEST('Translation Review'!E141,"[ก-๙]"),1,0),1)</x:f>
        <x:v>0</x:v>
      </x:c>
      <x:c r="C141" s="8" t="n">
        <x:f>IF(OR('Translation Review'!F141="direct",'Translation Review'!F141="plain_english"),0,1)</x:f>
        <x:v>0</x:v>
      </x:c>
      <x:c r="D141" s="8" t="n">
        <x:f>IFERROR(IF(AND(OR(LEN('Translation Review'!P141)=21,LEN('Translation Review'!P141)=26),MID('Translation Review'!P141,6,1)="-",MID('Translation Review'!P141,9,1)="-",MID('Translation Review'!P141,12,1)="T",MID('Translation Review'!P141,15,1)=":",MID('Translation Review'!P141,18,1)=":",VALUE(MID('Translation Review'!P141,7,2))&gt;=1,VALUE(MID('Translation Review'!P141,7,2))&lt;=12,VALUE(MID('Translation Review'!P141,10,2))&gt;=1,VALUE(MID('Translation Review'!P141,10,2))&lt;=CHOOSE(VALUE(MID('Translation Review'!P141,7,2)),31,IF(AND(MOD(VALUE(MID('Translation Review'!P141,2,4)),4)=0,OR(MOD(VALUE(MID('Translation Review'!P141,2,4)),100)&lt;&gt;0,MOD(VALUE(MID('Translation Review'!P141,2,4)),400)=0)),29,28),31,30,31,30,31,31,30,31,30,31),VALUE(MID('Translation Review'!P141,13,2))&gt;=0,VALUE(MID('Translation Review'!P141,13,2))&lt;=23,VALUE(MID('Translation Review'!P141,16,2))&gt;=0,VALUE(MID('Translation Review'!P141,16,2))&lt;=59,VALUE(MID('Translation Review'!P141,19,2))&gt;=0,VALUE(MID('Translation Review'!P141,19,2))&lt;=59,OR(AND(LEN('Translation Review'!P141)=21,RIGHT('Translation Review'!P141,1)="Z"),AND(LEN('Translation Review'!P141)=26,OR(MID('Translation Review'!P141,21,1)="+",MID('Translation Review'!P141,21,1)="-"),MID('Translation Review'!P141,24,1)=":",VALUE(MID('Translation Review'!P141,22,2))&gt;=0,VALUE(MID('Translation Review'!P141,22,2))&lt;=23,VALUE(MID('Translation Review'!P141,25,2))&gt;=0,VALUE(MID('Translation Review'!P141,25,2))&lt;=59))),0,1),1)</x:f>
        <x:v>0</x:v>
      </x:c>
      <x:c r="E141" s="8" t="n">
        <x:f>IF(AND(ISNUMBER('Translation Review'!Q141),'Translation Review'!Q141&gt;0,'Translation Review'!Q141=INT('Translation Review'!Q141)),0,1)</x:f>
        <x:v>0</x:v>
      </x:c>
    </x:row>
    <x:row r="142" ht="24" customHeight="1">
      <x:c r="A142" s="8" t="str">
        <x:v>act_rest_stretch.01</x:v>
      </x:c>
      <x:c r="B142" s="8" t="n">
        <x:f>IFERROR(IF(REGEXTEST('Translation Review'!E142,"[ก-๙]"),1,0),1)</x:f>
        <x:v>0</x:v>
      </x:c>
      <x:c r="C142" s="8" t="n">
        <x:f>IF(OR('Translation Review'!F142="direct",'Translation Review'!F142="plain_english"),0,1)</x:f>
        <x:v>0</x:v>
      </x:c>
      <x:c r="D142" s="8" t="n">
        <x:f>IFERROR(IF(AND(OR(LEN('Translation Review'!P142)=21,LEN('Translation Review'!P142)=26),MID('Translation Review'!P142,6,1)="-",MID('Translation Review'!P142,9,1)="-",MID('Translation Review'!P142,12,1)="T",MID('Translation Review'!P142,15,1)=":",MID('Translation Review'!P142,18,1)=":",VALUE(MID('Translation Review'!P142,7,2))&gt;=1,VALUE(MID('Translation Review'!P142,7,2))&lt;=12,VALUE(MID('Translation Review'!P142,10,2))&gt;=1,VALUE(MID('Translation Review'!P142,10,2))&lt;=CHOOSE(VALUE(MID('Translation Review'!P142,7,2)),31,IF(AND(MOD(VALUE(MID('Translation Review'!P142,2,4)),4)=0,OR(MOD(VALUE(MID('Translation Review'!P142,2,4)),100)&lt;&gt;0,MOD(VALUE(MID('Translation Review'!P142,2,4)),400)=0)),29,28),31,30,31,30,31,31,30,31,30,31),VALUE(MID('Translation Review'!P142,13,2))&gt;=0,VALUE(MID('Translation Review'!P142,13,2))&lt;=23,VALUE(MID('Translation Review'!P142,16,2))&gt;=0,VALUE(MID('Translation Review'!P142,16,2))&lt;=59,VALUE(MID('Translation Review'!P142,19,2))&gt;=0,VALUE(MID('Translation Review'!P142,19,2))&lt;=59,OR(AND(LEN('Translation Review'!P142)=21,RIGHT('Translation Review'!P142,1)="Z"),AND(LEN('Translation Review'!P142)=26,OR(MID('Translation Review'!P142,21,1)="+",MID('Translation Review'!P142,21,1)="-"),MID('Translation Review'!P142,24,1)=":",VALUE(MID('Translation Review'!P142,22,2))&gt;=0,VALUE(MID('Translation Review'!P142,22,2))&lt;=23,VALUE(MID('Translation Review'!P142,25,2))&gt;=0,VALUE(MID('Translation Review'!P142,25,2))&lt;=59))),0,1),1)</x:f>
        <x:v>0</x:v>
      </x:c>
      <x:c r="E142" s="8" t="n">
        <x:f>IF(AND(ISNUMBER('Translation Review'!Q142),'Translation Review'!Q142&gt;0,'Translation Review'!Q142=INT('Translation Review'!Q142)),0,1)</x:f>
        <x:v>0</x:v>
      </x:c>
    </x:row>
    <x:row r="143" ht="24" customHeight="1">
      <x:c r="A143" s="8" t="str">
        <x:v>act_spray_extension.01</x:v>
      </x:c>
      <x:c r="B143" s="8" t="n">
        <x:f>IFERROR(IF(REGEXTEST('Translation Review'!E143,"[ก-๙]"),1,0),1)</x:f>
        <x:v>0</x:v>
      </x:c>
      <x:c r="C143" s="8" t="n">
        <x:f>IF(OR('Translation Review'!F143="direct",'Translation Review'!F143="plain_english"),0,1)</x:f>
        <x:v>0</x:v>
      </x:c>
      <x:c r="D143" s="8" t="n">
        <x:f>IFERROR(IF(AND(OR(LEN('Translation Review'!P143)=21,LEN('Translation Review'!P143)=26),MID('Translation Review'!P143,6,1)="-",MID('Translation Review'!P143,9,1)="-",MID('Translation Review'!P143,12,1)="T",MID('Translation Review'!P143,15,1)=":",MID('Translation Review'!P143,18,1)=":",VALUE(MID('Translation Review'!P143,7,2))&gt;=1,VALUE(MID('Translation Review'!P143,7,2))&lt;=12,VALUE(MID('Translation Review'!P143,10,2))&gt;=1,VALUE(MID('Translation Review'!P143,10,2))&lt;=CHOOSE(VALUE(MID('Translation Review'!P143,7,2)),31,IF(AND(MOD(VALUE(MID('Translation Review'!P143,2,4)),4)=0,OR(MOD(VALUE(MID('Translation Review'!P143,2,4)),100)&lt;&gt;0,MOD(VALUE(MID('Translation Review'!P143,2,4)),400)=0)),29,28),31,30,31,30,31,31,30,31,30,31),VALUE(MID('Translation Review'!P143,13,2))&gt;=0,VALUE(MID('Translation Review'!P143,13,2))&lt;=23,VALUE(MID('Translation Review'!P143,16,2))&gt;=0,VALUE(MID('Translation Review'!P143,16,2))&lt;=59,VALUE(MID('Translation Review'!P143,19,2))&gt;=0,VALUE(MID('Translation Review'!P143,19,2))&lt;=59,OR(AND(LEN('Translation Review'!P143)=21,RIGHT('Translation Review'!P143,1)="Z"),AND(LEN('Translation Review'!P143)=26,OR(MID('Translation Review'!P143,21,1)="+",MID('Translation Review'!P143,21,1)="-"),MID('Translation Review'!P143,24,1)=":",VALUE(MID('Translation Review'!P143,22,2))&gt;=0,VALUE(MID('Translation Review'!P143,22,2))&lt;=23,VALUE(MID('Translation Review'!P143,25,2))&gt;=0,VALUE(MID('Translation Review'!P143,25,2))&lt;=59))),0,1),1)</x:f>
        <x:v>0</x:v>
      </x:c>
      <x:c r="E143" s="8" t="n">
        <x:f>IF(AND(ISNUMBER('Translation Review'!Q143),'Translation Review'!Q143&gt;0,'Translation Review'!Q143=INT('Translation Review'!Q143)),0,1)</x:f>
        <x:v>0</x:v>
      </x:c>
    </x:row>
    <x:row r="144" ht="24" customHeight="1">
      <x:c r="A144" s="8" t="str">
        <x:v>act_transplant_low_stool.01</x:v>
      </x:c>
      <x:c r="B144" s="8" t="n">
        <x:f>IFERROR(IF(REGEXTEST('Translation Review'!E144,"[ก-๙]"),1,0),1)</x:f>
        <x:v>0</x:v>
      </x:c>
      <x:c r="C144" s="8" t="n">
        <x:f>IF(OR('Translation Review'!F144="direct",'Translation Review'!F144="plain_english"),0,1)</x:f>
        <x:v>0</x:v>
      </x:c>
      <x:c r="D144" s="8" t="n">
        <x:f>IFERROR(IF(AND(OR(LEN('Translation Review'!P144)=21,LEN('Translation Review'!P144)=26),MID('Translation Review'!P144,6,1)="-",MID('Translation Review'!P144,9,1)="-",MID('Translation Review'!P144,12,1)="T",MID('Translation Review'!P144,15,1)=":",MID('Translation Review'!P144,18,1)=":",VALUE(MID('Translation Review'!P144,7,2))&gt;=1,VALUE(MID('Translation Review'!P144,7,2))&lt;=12,VALUE(MID('Translation Review'!P144,10,2))&gt;=1,VALUE(MID('Translation Review'!P144,10,2))&lt;=CHOOSE(VALUE(MID('Translation Review'!P144,7,2)),31,IF(AND(MOD(VALUE(MID('Translation Review'!P144,2,4)),4)=0,OR(MOD(VALUE(MID('Translation Review'!P144,2,4)),100)&lt;&gt;0,MOD(VALUE(MID('Translation Review'!P144,2,4)),400)=0)),29,28),31,30,31,30,31,31,30,31,30,31),VALUE(MID('Translation Review'!P144,13,2))&gt;=0,VALUE(MID('Translation Review'!P144,13,2))&lt;=23,VALUE(MID('Translation Review'!P144,16,2))&gt;=0,VALUE(MID('Translation Review'!P144,16,2))&lt;=59,VALUE(MID('Translation Review'!P144,19,2))&gt;=0,VALUE(MID('Translation Review'!P144,19,2))&lt;=59,OR(AND(LEN('Translation Review'!P144)=21,RIGHT('Translation Review'!P144,1)="Z"),AND(LEN('Translation Review'!P144)=26,OR(MID('Translation Review'!P144,21,1)="+",MID('Translation Review'!P144,21,1)="-"),MID('Translation Review'!P144,24,1)=":",VALUE(MID('Translation Review'!P144,22,2))&gt;=0,VALUE(MID('Translation Review'!P144,22,2))&lt;=23,VALUE(MID('Translation Review'!P144,25,2))&gt;=0,VALUE(MID('Translation Review'!P144,25,2))&lt;=59))),0,1),1)</x:f>
        <x:v>0</x:v>
      </x:c>
      <x:c r="E144" s="8" t="n">
        <x:f>IF(AND(ISNUMBER('Translation Review'!Q144),'Translation Review'!Q144&gt;0,'Translation Review'!Q144=INT('Translation Review'!Q144)),0,1)</x:f>
        <x:v>0</x:v>
      </x:c>
    </x:row>
    <x:row r="145" ht="24" customHeight="1">
      <x:c r="A145" s="8" t="str">
        <x:v>act_transplant_raise_bed.01</x:v>
      </x:c>
      <x:c r="B145" s="8" t="n">
        <x:f>IFERROR(IF(REGEXTEST('Translation Review'!E145,"[ก-๙]"),1,0),1)</x:f>
        <x:v>0</x:v>
      </x:c>
      <x:c r="C145" s="8" t="n">
        <x:f>IF(OR('Translation Review'!F145="direct",'Translation Review'!F145="plain_english"),0,1)</x:f>
        <x:v>0</x:v>
      </x:c>
      <x:c r="D145" s="8" t="n">
        <x:f>IFERROR(IF(AND(OR(LEN('Translation Review'!P145)=21,LEN('Translation Review'!P145)=26),MID('Translation Review'!P145,6,1)="-",MID('Translation Review'!P145,9,1)="-",MID('Translation Review'!P145,12,1)="T",MID('Translation Review'!P145,15,1)=":",MID('Translation Review'!P145,18,1)=":",VALUE(MID('Translation Review'!P145,7,2))&gt;=1,VALUE(MID('Translation Review'!P145,7,2))&lt;=12,VALUE(MID('Translation Review'!P145,10,2))&gt;=1,VALUE(MID('Translation Review'!P145,10,2))&lt;=CHOOSE(VALUE(MID('Translation Review'!P145,7,2)),31,IF(AND(MOD(VALUE(MID('Translation Review'!P145,2,4)),4)=0,OR(MOD(VALUE(MID('Translation Review'!P145,2,4)),100)&lt;&gt;0,MOD(VALUE(MID('Translation Review'!P145,2,4)),400)=0)),29,28),31,30,31,30,31,31,30,31,30,31),VALUE(MID('Translation Review'!P145,13,2))&gt;=0,VALUE(MID('Translation Review'!P145,13,2))&lt;=23,VALUE(MID('Translation Review'!P145,16,2))&gt;=0,VALUE(MID('Translation Review'!P145,16,2))&lt;=59,VALUE(MID('Translation Review'!P145,19,2))&gt;=0,VALUE(MID('Translation Review'!P145,19,2))&lt;=59,OR(AND(LEN('Translation Review'!P145)=21,RIGHT('Translation Review'!P145,1)="Z"),AND(LEN('Translation Review'!P145)=26,OR(MID('Translation Review'!P145,21,1)="+",MID('Translation Review'!P145,21,1)="-"),MID('Translation Review'!P145,24,1)=":",VALUE(MID('Translation Review'!P145,22,2))&gt;=0,VALUE(MID('Translation Review'!P145,22,2))&lt;=23,VALUE(MID('Translation Review'!P145,25,2))&gt;=0,VALUE(MID('Translation Review'!P145,25,2))&lt;=59))),0,1),1)</x:f>
        <x:v>0</x:v>
      </x:c>
      <x:c r="E145" s="8" t="n">
        <x:f>IF(AND(ISNUMBER('Translation Review'!Q145),'Translation Review'!Q145&gt;0,'Translation Review'!Q145=INT('Translation Review'!Q145)),0,1)</x:f>
        <x:v>0</x:v>
      </x:c>
    </x:row>
    <x:row r="146" ht="24" customHeight="1">
      <x:c r="A146" s="8" t="str">
        <x:v>act_transplant_ref_high.01</x:v>
      </x:c>
      <x:c r="B146" s="8" t="n">
        <x:f>IFERROR(IF(REGEXTEST('Translation Review'!E146,"[ก-๙]"),1,0),1)</x:f>
        <x:v>0</x:v>
      </x:c>
      <x:c r="C146" s="8" t="n">
        <x:f>IF(OR('Translation Review'!F146="direct",'Translation Review'!F146="plain_english"),0,1)</x:f>
        <x:v>0</x:v>
      </x:c>
      <x:c r="D146" s="8" t="n">
        <x:f>IFERROR(IF(AND(OR(LEN('Translation Review'!P146)=21,LEN('Translation Review'!P146)=26),MID('Translation Review'!P146,6,1)="-",MID('Translation Review'!P146,9,1)="-",MID('Translation Review'!P146,12,1)="T",MID('Translation Review'!P146,15,1)=":",MID('Translation Review'!P146,18,1)=":",VALUE(MID('Translation Review'!P146,7,2))&gt;=1,VALUE(MID('Translation Review'!P146,7,2))&lt;=12,VALUE(MID('Translation Review'!P146,10,2))&gt;=1,VALUE(MID('Translation Review'!P146,10,2))&lt;=CHOOSE(VALUE(MID('Translation Review'!P146,7,2)),31,IF(AND(MOD(VALUE(MID('Translation Review'!P146,2,4)),4)=0,OR(MOD(VALUE(MID('Translation Review'!P146,2,4)),100)&lt;&gt;0,MOD(VALUE(MID('Translation Review'!P146,2,4)),400)=0)),29,28),31,30,31,30,31,31,30,31,30,31),VALUE(MID('Translation Review'!P146,13,2))&gt;=0,VALUE(MID('Translation Review'!P146,13,2))&lt;=23,VALUE(MID('Translation Review'!P146,16,2))&gt;=0,VALUE(MID('Translation Review'!P146,16,2))&lt;=59,VALUE(MID('Translation Review'!P146,19,2))&gt;=0,VALUE(MID('Translation Review'!P146,19,2))&lt;=59,OR(AND(LEN('Translation Review'!P146)=21,RIGHT('Translation Review'!P146,1)="Z"),AND(LEN('Translation Review'!P146)=26,OR(MID('Translation Review'!P146,21,1)="+",MID('Translation Review'!P146,21,1)="-"),MID('Translation Review'!P146,24,1)=":",VALUE(MID('Translation Review'!P146,22,2))&gt;=0,VALUE(MID('Translation Review'!P146,22,2))&lt;=23,VALUE(MID('Translation Review'!P146,25,2))&gt;=0,VALUE(MID('Translation Review'!P146,25,2))&lt;=59))),0,1),1)</x:f>
        <x:v>0</x:v>
      </x:c>
      <x:c r="E146" s="8" t="n">
        <x:f>IF(AND(ISNUMBER('Translation Review'!Q146),'Translation Review'!Q146&gt;0,'Translation Review'!Q146=INT('Translation Review'!Q146)),0,1)</x:f>
        <x:v>0</x:v>
      </x:c>
    </x:row>
    <x:row r="147" ht="24" customHeight="1">
      <x:c r="A147" s="8" t="str">
        <x:v>act_transplant_ref_high.02</x:v>
      </x:c>
      <x:c r="B147" s="8" t="n">
        <x:f>IFERROR(IF(REGEXTEST('Translation Review'!E147,"[ก-๙]"),1,0),1)</x:f>
        <x:v>0</x:v>
      </x:c>
      <x:c r="C147" s="8" t="n">
        <x:f>IF(OR('Translation Review'!F147="direct",'Translation Review'!F147="plain_english"),0,1)</x:f>
        <x:v>0</x:v>
      </x:c>
      <x:c r="D147" s="8" t="n">
        <x:f>IFERROR(IF(AND(OR(LEN('Translation Review'!P147)=21,LEN('Translation Review'!P147)=26),MID('Translation Review'!P147,6,1)="-",MID('Translation Review'!P147,9,1)="-",MID('Translation Review'!P147,12,1)="T",MID('Translation Review'!P147,15,1)=":",MID('Translation Review'!P147,18,1)=":",VALUE(MID('Translation Review'!P147,7,2))&gt;=1,VALUE(MID('Translation Review'!P147,7,2))&lt;=12,VALUE(MID('Translation Review'!P147,10,2))&gt;=1,VALUE(MID('Translation Review'!P147,10,2))&lt;=CHOOSE(VALUE(MID('Translation Review'!P147,7,2)),31,IF(AND(MOD(VALUE(MID('Translation Review'!P147,2,4)),4)=0,OR(MOD(VALUE(MID('Translation Review'!P147,2,4)),100)&lt;&gt;0,MOD(VALUE(MID('Translation Review'!P147,2,4)),400)=0)),29,28),31,30,31,30,31,31,30,31,30,31),VALUE(MID('Translation Review'!P147,13,2))&gt;=0,VALUE(MID('Translation Review'!P147,13,2))&lt;=23,VALUE(MID('Translation Review'!P147,16,2))&gt;=0,VALUE(MID('Translation Review'!P147,16,2))&lt;=59,VALUE(MID('Translation Review'!P147,19,2))&gt;=0,VALUE(MID('Translation Review'!P147,19,2))&lt;=59,OR(AND(LEN('Translation Review'!P147)=21,RIGHT('Translation Review'!P147,1)="Z"),AND(LEN('Translation Review'!P147)=26,OR(MID('Translation Review'!P147,21,1)="+",MID('Translation Review'!P147,21,1)="-"),MID('Translation Review'!P147,24,1)=":",VALUE(MID('Translation Review'!P147,22,2))&gt;=0,VALUE(MID('Translation Review'!P147,22,2))&lt;=23,VALUE(MID('Translation Review'!P147,25,2))&gt;=0,VALUE(MID('Translation Review'!P147,25,2))&lt;=59))),0,1),1)</x:f>
        <x:v>0</x:v>
      </x:c>
      <x:c r="E147" s="8" t="n">
        <x:f>IF(AND(ISNUMBER('Translation Review'!Q147),'Translation Review'!Q147&gt;0,'Translation Review'!Q147=INT('Translation Review'!Q147)),0,1)</x:f>
        <x:v>0</x:v>
      </x:c>
    </x:row>
    <x:row r="148" ht="24" customHeight="1">
      <x:c r="A148" s="8" t="str">
        <x:v>act_transplant_ref_high.03</x:v>
      </x:c>
      <x:c r="B148" s="8" t="n">
        <x:f>IFERROR(IF(REGEXTEST('Translation Review'!E148,"[ก-๙]"),1,0),1)</x:f>
        <x:v>0</x:v>
      </x:c>
      <x:c r="C148" s="8" t="n">
        <x:f>IF(OR('Translation Review'!F148="direct",'Translation Review'!F148="plain_english"),0,1)</x:f>
        <x:v>0</x:v>
      </x:c>
      <x:c r="D148" s="8" t="n">
        <x:f>IFERROR(IF(AND(OR(LEN('Translation Review'!P148)=21,LEN('Translation Review'!P148)=26),MID('Translation Review'!P148,6,1)="-",MID('Translation Review'!P148,9,1)="-",MID('Translation Review'!P148,12,1)="T",MID('Translation Review'!P148,15,1)=":",MID('Translation Review'!P148,18,1)=":",VALUE(MID('Translation Review'!P148,7,2))&gt;=1,VALUE(MID('Translation Review'!P148,7,2))&lt;=12,VALUE(MID('Translation Review'!P148,10,2))&gt;=1,VALUE(MID('Translation Review'!P148,10,2))&lt;=CHOOSE(VALUE(MID('Translation Review'!P148,7,2)),31,IF(AND(MOD(VALUE(MID('Translation Review'!P148,2,4)),4)=0,OR(MOD(VALUE(MID('Translation Review'!P148,2,4)),100)&lt;&gt;0,MOD(VALUE(MID('Translation Review'!P148,2,4)),400)=0)),29,28),31,30,31,30,31,31,30,31,30,31),VALUE(MID('Translation Review'!P148,13,2))&gt;=0,VALUE(MID('Translation Review'!P148,13,2))&lt;=23,VALUE(MID('Translation Review'!P148,16,2))&gt;=0,VALUE(MID('Translation Review'!P148,16,2))&lt;=59,VALUE(MID('Translation Review'!P148,19,2))&gt;=0,VALUE(MID('Translation Review'!P148,19,2))&lt;=59,OR(AND(LEN('Translation Review'!P148)=21,RIGHT('Translation Review'!P148,1)="Z"),AND(LEN('Translation Review'!P148)=26,OR(MID('Translation Review'!P148,21,1)="+",MID('Translation Review'!P148,21,1)="-"),MID('Translation Review'!P148,24,1)=":",VALUE(MID('Translation Review'!P148,22,2))&gt;=0,VALUE(MID('Translation Review'!P148,22,2))&lt;=23,VALUE(MID('Translation Review'!P148,25,2))&gt;=0,VALUE(MID('Translation Review'!P148,25,2))&lt;=59))),0,1),1)</x:f>
        <x:v>0</x:v>
      </x:c>
      <x:c r="E148" s="8" t="n">
        <x:f>IF(AND(ISNUMBER('Translation Review'!Q148),'Translation Review'!Q148&gt;0,'Translation Review'!Q148=INT('Translation Review'!Q148)),0,1)</x:f>
        <x:v>0</x:v>
      </x:c>
    </x:row>
    <x:row r="149" ht="24" customHeight="1">
      <x:c r="A149" s="8" t="str">
        <x:v>act_transplant_ref_low.01</x:v>
      </x:c>
      <x:c r="B149" s="8" t="n">
        <x:f>IFERROR(IF(REGEXTEST('Translation Review'!E149,"[ก-๙]"),1,0),1)</x:f>
        <x:v>0</x:v>
      </x:c>
      <x:c r="C149" s="8" t="n">
        <x:f>IF(OR('Translation Review'!F149="direct",'Translation Review'!F149="plain_english"),0,1)</x:f>
        <x:v>0</x:v>
      </x:c>
      <x:c r="D149" s="8" t="n">
        <x:f>IFERROR(IF(AND(OR(LEN('Translation Review'!P149)=21,LEN('Translation Review'!P149)=26),MID('Translation Review'!P149,6,1)="-",MID('Translation Review'!P149,9,1)="-",MID('Translation Review'!P149,12,1)="T",MID('Translation Review'!P149,15,1)=":",MID('Translation Review'!P149,18,1)=":",VALUE(MID('Translation Review'!P149,7,2))&gt;=1,VALUE(MID('Translation Review'!P149,7,2))&lt;=12,VALUE(MID('Translation Review'!P149,10,2))&gt;=1,VALUE(MID('Translation Review'!P149,10,2))&lt;=CHOOSE(VALUE(MID('Translation Review'!P149,7,2)),31,IF(AND(MOD(VALUE(MID('Translation Review'!P149,2,4)),4)=0,OR(MOD(VALUE(MID('Translation Review'!P149,2,4)),100)&lt;&gt;0,MOD(VALUE(MID('Translation Review'!P149,2,4)),400)=0)),29,28),31,30,31,30,31,31,30,31,30,31),VALUE(MID('Translation Review'!P149,13,2))&gt;=0,VALUE(MID('Translation Review'!P149,13,2))&lt;=23,VALUE(MID('Translation Review'!P149,16,2))&gt;=0,VALUE(MID('Translation Review'!P149,16,2))&lt;=59,VALUE(MID('Translation Review'!P149,19,2))&gt;=0,VALUE(MID('Translation Review'!P149,19,2))&lt;=59,OR(AND(LEN('Translation Review'!P149)=21,RIGHT('Translation Review'!P149,1)="Z"),AND(LEN('Translation Review'!P149)=26,OR(MID('Translation Review'!P149,21,1)="+",MID('Translation Review'!P149,21,1)="-"),MID('Translation Review'!P149,24,1)=":",VALUE(MID('Translation Review'!P149,22,2))&gt;=0,VALUE(MID('Translation Review'!P149,22,2))&lt;=23,VALUE(MID('Translation Review'!P149,25,2))&gt;=0,VALUE(MID('Translation Review'!P149,25,2))&lt;=59))),0,1),1)</x:f>
        <x:v>0</x:v>
      </x:c>
      <x:c r="E149" s="8" t="n">
        <x:f>IF(AND(ISNUMBER('Translation Review'!Q149),'Translation Review'!Q149&gt;0,'Translation Review'!Q149=INT('Translation Review'!Q149)),0,1)</x:f>
        <x:v>0</x:v>
      </x:c>
    </x:row>
    <x:row r="150" ht="24" customHeight="1">
      <x:c r="A150" s="8" t="str">
        <x:v>act_transplant_ref_low.02</x:v>
      </x:c>
      <x:c r="B150" s="8" t="n">
        <x:f>IFERROR(IF(REGEXTEST('Translation Review'!E150,"[ก-๙]"),1,0),1)</x:f>
        <x:v>0</x:v>
      </x:c>
      <x:c r="C150" s="8" t="n">
        <x:f>IF(OR('Translation Review'!F150="direct",'Translation Review'!F150="plain_english"),0,1)</x:f>
        <x:v>0</x:v>
      </x:c>
      <x:c r="D150" s="8" t="n">
        <x:f>IFERROR(IF(AND(OR(LEN('Translation Review'!P150)=21,LEN('Translation Review'!P150)=26),MID('Translation Review'!P150,6,1)="-",MID('Translation Review'!P150,9,1)="-",MID('Translation Review'!P150,12,1)="T",MID('Translation Review'!P150,15,1)=":",MID('Translation Review'!P150,18,1)=":",VALUE(MID('Translation Review'!P150,7,2))&gt;=1,VALUE(MID('Translation Review'!P150,7,2))&lt;=12,VALUE(MID('Translation Review'!P150,10,2))&gt;=1,VALUE(MID('Translation Review'!P150,10,2))&lt;=CHOOSE(VALUE(MID('Translation Review'!P150,7,2)),31,IF(AND(MOD(VALUE(MID('Translation Review'!P150,2,4)),4)=0,OR(MOD(VALUE(MID('Translation Review'!P150,2,4)),100)&lt;&gt;0,MOD(VALUE(MID('Translation Review'!P150,2,4)),400)=0)),29,28),31,30,31,30,31,31,30,31,30,31),VALUE(MID('Translation Review'!P150,13,2))&gt;=0,VALUE(MID('Translation Review'!P150,13,2))&lt;=23,VALUE(MID('Translation Review'!P150,16,2))&gt;=0,VALUE(MID('Translation Review'!P150,16,2))&lt;=59,VALUE(MID('Translation Review'!P150,19,2))&gt;=0,VALUE(MID('Translation Review'!P150,19,2))&lt;=59,OR(AND(LEN('Translation Review'!P150)=21,RIGHT('Translation Review'!P150,1)="Z"),AND(LEN('Translation Review'!P150)=26,OR(MID('Translation Review'!P150,21,1)="+",MID('Translation Review'!P150,21,1)="-"),MID('Translation Review'!P150,24,1)=":",VALUE(MID('Translation Review'!P150,22,2))&gt;=0,VALUE(MID('Translation Review'!P150,22,2))&lt;=23,VALUE(MID('Translation Review'!P150,25,2))&gt;=0,VALUE(MID('Translation Review'!P150,25,2))&lt;=59))),0,1),1)</x:f>
        <x:v>0</x:v>
      </x:c>
      <x:c r="E150" s="8" t="n">
        <x:f>IF(AND(ISNUMBER('Translation Review'!Q150),'Translation Review'!Q150&gt;0,'Translation Review'!Q150=INT('Translation Review'!Q150)),0,1)</x:f>
        <x:v>0</x:v>
      </x:c>
    </x:row>
    <x:row r="151" ht="24" customHeight="1">
      <x:c r="A151" s="8" t="str">
        <x:v>act_transplant_ref_medium.01</x:v>
      </x:c>
      <x:c r="B151" s="8" t="n">
        <x:f>IFERROR(IF(REGEXTEST('Translation Review'!E151,"[ก-๙]"),1,0),1)</x:f>
        <x:v>0</x:v>
      </x:c>
      <x:c r="C151" s="8" t="n">
        <x:f>IF(OR('Translation Review'!F151="direct",'Translation Review'!F151="plain_english"),0,1)</x:f>
        <x:v>0</x:v>
      </x:c>
      <x:c r="D151" s="8" t="n">
        <x:f>IFERROR(IF(AND(OR(LEN('Translation Review'!P151)=21,LEN('Translation Review'!P151)=26),MID('Translation Review'!P151,6,1)="-",MID('Translation Review'!P151,9,1)="-",MID('Translation Review'!P151,12,1)="T",MID('Translation Review'!P151,15,1)=":",MID('Translation Review'!P151,18,1)=":",VALUE(MID('Translation Review'!P151,7,2))&gt;=1,VALUE(MID('Translation Review'!P151,7,2))&lt;=12,VALUE(MID('Translation Review'!P151,10,2))&gt;=1,VALUE(MID('Translation Review'!P151,10,2))&lt;=CHOOSE(VALUE(MID('Translation Review'!P151,7,2)),31,IF(AND(MOD(VALUE(MID('Translation Review'!P151,2,4)),4)=0,OR(MOD(VALUE(MID('Translation Review'!P151,2,4)),100)&lt;&gt;0,MOD(VALUE(MID('Translation Review'!P151,2,4)),400)=0)),29,28),31,30,31,30,31,31,30,31,30,31),VALUE(MID('Translation Review'!P151,13,2))&gt;=0,VALUE(MID('Translation Review'!P151,13,2))&lt;=23,VALUE(MID('Translation Review'!P151,16,2))&gt;=0,VALUE(MID('Translation Review'!P151,16,2))&lt;=59,VALUE(MID('Translation Review'!P151,19,2))&gt;=0,VALUE(MID('Translation Review'!P151,19,2))&lt;=59,OR(AND(LEN('Translation Review'!P151)=21,RIGHT('Translation Review'!P151,1)="Z"),AND(LEN('Translation Review'!P151)=26,OR(MID('Translation Review'!P151,21,1)="+",MID('Translation Review'!P151,21,1)="-"),MID('Translation Review'!P151,24,1)=":",VALUE(MID('Translation Review'!P151,22,2))&gt;=0,VALUE(MID('Translation Review'!P151,22,2))&lt;=23,VALUE(MID('Translation Review'!P151,25,2))&gt;=0,VALUE(MID('Translation Review'!P151,25,2))&lt;=59))),0,1),1)</x:f>
        <x:v>0</x:v>
      </x:c>
      <x:c r="E151" s="8" t="n">
        <x:f>IF(AND(ISNUMBER('Translation Review'!Q151),'Translation Review'!Q151&gt;0,'Translation Review'!Q151=INT('Translation Review'!Q151)),0,1)</x:f>
        <x:v>0</x:v>
      </x:c>
    </x:row>
    <x:row r="152" ht="24" customHeight="1">
      <x:c r="A152" s="8" t="str">
        <x:v>act_transplant_ref_medium.02</x:v>
      </x:c>
      <x:c r="B152" s="8" t="n">
        <x:f>IFERROR(IF(REGEXTEST('Translation Review'!E152,"[ก-๙]"),1,0),1)</x:f>
        <x:v>0</x:v>
      </x:c>
      <x:c r="C152" s="8" t="n">
        <x:f>IF(OR('Translation Review'!F152="direct",'Translation Review'!F152="plain_english"),0,1)</x:f>
        <x:v>0</x:v>
      </x:c>
      <x:c r="D152" s="8" t="n">
        <x:f>IFERROR(IF(AND(OR(LEN('Translation Review'!P152)=21,LEN('Translation Review'!P152)=26),MID('Translation Review'!P152,6,1)="-",MID('Translation Review'!P152,9,1)="-",MID('Translation Review'!P152,12,1)="T",MID('Translation Review'!P152,15,1)=":",MID('Translation Review'!P152,18,1)=":",VALUE(MID('Translation Review'!P152,7,2))&gt;=1,VALUE(MID('Translation Review'!P152,7,2))&lt;=12,VALUE(MID('Translation Review'!P152,10,2))&gt;=1,VALUE(MID('Translation Review'!P152,10,2))&lt;=CHOOSE(VALUE(MID('Translation Review'!P152,7,2)),31,IF(AND(MOD(VALUE(MID('Translation Review'!P152,2,4)),4)=0,OR(MOD(VALUE(MID('Translation Review'!P152,2,4)),100)&lt;&gt;0,MOD(VALUE(MID('Translation Review'!P152,2,4)),400)=0)),29,28),31,30,31,30,31,31,30,31,30,31),VALUE(MID('Translation Review'!P152,13,2))&gt;=0,VALUE(MID('Translation Review'!P152,13,2))&lt;=23,VALUE(MID('Translation Review'!P152,16,2))&gt;=0,VALUE(MID('Translation Review'!P152,16,2))&lt;=59,VALUE(MID('Translation Review'!P152,19,2))&gt;=0,VALUE(MID('Translation Review'!P152,19,2))&lt;=59,OR(AND(LEN('Translation Review'!P152)=21,RIGHT('Translation Review'!P152,1)="Z"),AND(LEN('Translation Review'!P152)=26,OR(MID('Translation Review'!P152,21,1)="+",MID('Translation Review'!P152,21,1)="-"),MID('Translation Review'!P152,24,1)=":",VALUE(MID('Translation Review'!P152,22,2))&gt;=0,VALUE(MID('Translation Review'!P152,22,2))&lt;=23,VALUE(MID('Translation Review'!P152,25,2))&gt;=0,VALUE(MID('Translation Review'!P152,25,2))&lt;=59))),0,1),1)</x:f>
        <x:v>0</x:v>
      </x:c>
      <x:c r="E152" s="8" t="n">
        <x:f>IF(AND(ISNUMBER('Translation Review'!Q152),'Translation Review'!Q152&gt;0,'Translation Review'!Q152=INT('Translation Review'!Q152)),0,1)</x:f>
        <x:v>0</x:v>
      </x:c>
    </x:row>
    <x:row r="153" ht="24" customHeight="1">
      <x:c r="A153" s="8" t="str">
        <x:v>act_transplant_ref_medium.03</x:v>
      </x:c>
      <x:c r="B153" s="8" t="n">
        <x:f>IFERROR(IF(REGEXTEST('Translation Review'!E153,"[ก-๙]"),1,0),1)</x:f>
        <x:v>0</x:v>
      </x:c>
      <x:c r="C153" s="8" t="n">
        <x:f>IF(OR('Translation Review'!F153="direct",'Translation Review'!F153="plain_english"),0,1)</x:f>
        <x:v>0</x:v>
      </x:c>
      <x:c r="D153" s="8" t="n">
        <x:f>IFERROR(IF(AND(OR(LEN('Translation Review'!P153)=21,LEN('Translation Review'!P153)=26),MID('Translation Review'!P153,6,1)="-",MID('Translation Review'!P153,9,1)="-",MID('Translation Review'!P153,12,1)="T",MID('Translation Review'!P153,15,1)=":",MID('Translation Review'!P153,18,1)=":",VALUE(MID('Translation Review'!P153,7,2))&gt;=1,VALUE(MID('Translation Review'!P153,7,2))&lt;=12,VALUE(MID('Translation Review'!P153,10,2))&gt;=1,VALUE(MID('Translation Review'!P153,10,2))&lt;=CHOOSE(VALUE(MID('Translation Review'!P153,7,2)),31,IF(AND(MOD(VALUE(MID('Translation Review'!P153,2,4)),4)=0,OR(MOD(VALUE(MID('Translation Review'!P153,2,4)),100)&lt;&gt;0,MOD(VALUE(MID('Translation Review'!P153,2,4)),400)=0)),29,28),31,30,31,30,31,31,30,31,30,31),VALUE(MID('Translation Review'!P153,13,2))&gt;=0,VALUE(MID('Translation Review'!P153,13,2))&lt;=23,VALUE(MID('Translation Review'!P153,16,2))&gt;=0,VALUE(MID('Translation Review'!P153,16,2))&lt;=59,VALUE(MID('Translation Review'!P153,19,2))&gt;=0,VALUE(MID('Translation Review'!P153,19,2))&lt;=59,OR(AND(LEN('Translation Review'!P153)=21,RIGHT('Translation Review'!P153,1)="Z"),AND(LEN('Translation Review'!P153)=26,OR(MID('Translation Review'!P153,21,1)="+",MID('Translation Review'!P153,21,1)="-"),MID('Translation Review'!P153,24,1)=":",VALUE(MID('Translation Review'!P153,22,2))&gt;=0,VALUE(MID('Translation Review'!P153,22,2))&lt;=23,VALUE(MID('Translation Review'!P153,25,2))&gt;=0,VALUE(MID('Translation Review'!P153,25,2))&lt;=59))),0,1),1)</x:f>
        <x:v>0</x:v>
      </x:c>
      <x:c r="E153" s="8" t="n">
        <x:f>IF(AND(ISNUMBER('Translation Review'!Q153),'Translation Review'!Q153&gt;0,'Translation Review'!Q153=INT('Translation Review'!Q153)),0,1)</x:f>
        <x:v>0</x:v>
      </x:c>
    </x:row>
    <x:row r="154" ht="24" customHeight="1">
      <x:c r="A154" s="8" t="str">
        <x:v>act_transport_clear_path.01</x:v>
      </x:c>
      <x:c r="B154" s="8" t="n">
        <x:f>IFERROR(IF(REGEXTEST('Translation Review'!E154,"[ก-๙]"),1,0),1)</x:f>
        <x:v>0</x:v>
      </x:c>
      <x:c r="C154" s="8" t="n">
        <x:f>IF(OR('Translation Review'!F154="direct",'Translation Review'!F154="plain_english"),0,1)</x:f>
        <x:v>0</x:v>
      </x:c>
      <x:c r="D154" s="8" t="n">
        <x:f>IFERROR(IF(AND(OR(LEN('Translation Review'!P154)=21,LEN('Translation Review'!P154)=26),MID('Translation Review'!P154,6,1)="-",MID('Translation Review'!P154,9,1)="-",MID('Translation Review'!P154,12,1)="T",MID('Translation Review'!P154,15,1)=":",MID('Translation Review'!P154,18,1)=":",VALUE(MID('Translation Review'!P154,7,2))&gt;=1,VALUE(MID('Translation Review'!P154,7,2))&lt;=12,VALUE(MID('Translation Review'!P154,10,2))&gt;=1,VALUE(MID('Translation Review'!P154,10,2))&lt;=CHOOSE(VALUE(MID('Translation Review'!P154,7,2)),31,IF(AND(MOD(VALUE(MID('Translation Review'!P154,2,4)),4)=0,OR(MOD(VALUE(MID('Translation Review'!P154,2,4)),100)&lt;&gt;0,MOD(VALUE(MID('Translation Review'!P154,2,4)),400)=0)),29,28),31,30,31,30,31,31,30,31,30,31),VALUE(MID('Translation Review'!P154,13,2))&gt;=0,VALUE(MID('Translation Review'!P154,13,2))&lt;=23,VALUE(MID('Translation Review'!P154,16,2))&gt;=0,VALUE(MID('Translation Review'!P154,16,2))&lt;=59,VALUE(MID('Translation Review'!P154,19,2))&gt;=0,VALUE(MID('Translation Review'!P154,19,2))&lt;=59,OR(AND(LEN('Translation Review'!P154)=21,RIGHT('Translation Review'!P154,1)="Z"),AND(LEN('Translation Review'!P154)=26,OR(MID('Translation Review'!P154,21,1)="+",MID('Translation Review'!P154,21,1)="-"),MID('Translation Review'!P154,24,1)=":",VALUE(MID('Translation Review'!P154,22,2))&gt;=0,VALUE(MID('Translation Review'!P154,22,2))&lt;=23,VALUE(MID('Translation Review'!P154,25,2))&gt;=0,VALUE(MID('Translation Review'!P154,25,2))&lt;=59))),0,1),1)</x:f>
        <x:v>0</x:v>
      </x:c>
      <x:c r="E154" s="8" t="n">
        <x:f>IF(AND(ISNUMBER('Translation Review'!Q154),'Translation Review'!Q154&gt;0,'Translation Review'!Q154=INT('Translation Review'!Q154)),0,1)</x:f>
        <x:v>0</x:v>
      </x:c>
    </x:row>
    <x:row r="155" ht="24" customHeight="1">
      <x:c r="A155" s="8" t="str">
        <x:v>act_transport_ref_high.01</x:v>
      </x:c>
      <x:c r="B155" s="8" t="n">
        <x:f>IFERROR(IF(REGEXTEST('Translation Review'!E155,"[ก-๙]"),1,0),1)</x:f>
        <x:v>0</x:v>
      </x:c>
      <x:c r="C155" s="8" t="n">
        <x:f>IF(OR('Translation Review'!F155="direct",'Translation Review'!F155="plain_english"),0,1)</x:f>
        <x:v>0</x:v>
      </x:c>
      <x:c r="D155" s="8" t="n">
        <x:f>IFERROR(IF(AND(OR(LEN('Translation Review'!P155)=21,LEN('Translation Review'!P155)=26),MID('Translation Review'!P155,6,1)="-",MID('Translation Review'!P155,9,1)="-",MID('Translation Review'!P155,12,1)="T",MID('Translation Review'!P155,15,1)=":",MID('Translation Review'!P155,18,1)=":",VALUE(MID('Translation Review'!P155,7,2))&gt;=1,VALUE(MID('Translation Review'!P155,7,2))&lt;=12,VALUE(MID('Translation Review'!P155,10,2))&gt;=1,VALUE(MID('Translation Review'!P155,10,2))&lt;=CHOOSE(VALUE(MID('Translation Review'!P155,7,2)),31,IF(AND(MOD(VALUE(MID('Translation Review'!P155,2,4)),4)=0,OR(MOD(VALUE(MID('Translation Review'!P155,2,4)),100)&lt;&gt;0,MOD(VALUE(MID('Translation Review'!P155,2,4)),400)=0)),29,28),31,30,31,30,31,31,30,31,30,31),VALUE(MID('Translation Review'!P155,13,2))&gt;=0,VALUE(MID('Translation Review'!P155,13,2))&lt;=23,VALUE(MID('Translation Review'!P155,16,2))&gt;=0,VALUE(MID('Translation Review'!P155,16,2))&lt;=59,VALUE(MID('Translation Review'!P155,19,2))&gt;=0,VALUE(MID('Translation Review'!P155,19,2))&lt;=59,OR(AND(LEN('Translation Review'!P155)=21,RIGHT('Translation Review'!P155,1)="Z"),AND(LEN('Translation Review'!P155)=26,OR(MID('Translation Review'!P155,21,1)="+",MID('Translation Review'!P155,21,1)="-"),MID('Translation Review'!P155,24,1)=":",VALUE(MID('Translation Review'!P155,22,2))&gt;=0,VALUE(MID('Translation Review'!P155,22,2))&lt;=23,VALUE(MID('Translation Review'!P155,25,2))&gt;=0,VALUE(MID('Translation Review'!P155,25,2))&lt;=59))),0,1),1)</x:f>
        <x:v>0</x:v>
      </x:c>
      <x:c r="E155" s="8" t="n">
        <x:f>IF(AND(ISNUMBER('Translation Review'!Q155),'Translation Review'!Q155&gt;0,'Translation Review'!Q155=INT('Translation Review'!Q155)),0,1)</x:f>
        <x:v>0</x:v>
      </x:c>
    </x:row>
    <x:row r="156" ht="24" customHeight="1">
      <x:c r="A156" s="8" t="str">
        <x:v>act_transport_ref_high.02</x:v>
      </x:c>
      <x:c r="B156" s="8" t="n">
        <x:f>IFERROR(IF(REGEXTEST('Translation Review'!E156,"[ก-๙]"),1,0),1)</x:f>
        <x:v>0</x:v>
      </x:c>
      <x:c r="C156" s="8" t="n">
        <x:f>IF(OR('Translation Review'!F156="direct",'Translation Review'!F156="plain_english"),0,1)</x:f>
        <x:v>0</x:v>
      </x:c>
      <x:c r="D156" s="8" t="n">
        <x:f>IFERROR(IF(AND(OR(LEN('Translation Review'!P156)=21,LEN('Translation Review'!P156)=26),MID('Translation Review'!P156,6,1)="-",MID('Translation Review'!P156,9,1)="-",MID('Translation Review'!P156,12,1)="T",MID('Translation Review'!P156,15,1)=":",MID('Translation Review'!P156,18,1)=":",VALUE(MID('Translation Review'!P156,7,2))&gt;=1,VALUE(MID('Translation Review'!P156,7,2))&lt;=12,VALUE(MID('Translation Review'!P156,10,2))&gt;=1,VALUE(MID('Translation Review'!P156,10,2))&lt;=CHOOSE(VALUE(MID('Translation Review'!P156,7,2)),31,IF(AND(MOD(VALUE(MID('Translation Review'!P156,2,4)),4)=0,OR(MOD(VALUE(MID('Translation Review'!P156,2,4)),100)&lt;&gt;0,MOD(VALUE(MID('Translation Review'!P156,2,4)),400)=0)),29,28),31,30,31,30,31,31,30,31,30,31),VALUE(MID('Translation Review'!P156,13,2))&gt;=0,VALUE(MID('Translation Review'!P156,13,2))&lt;=23,VALUE(MID('Translation Review'!P156,16,2))&gt;=0,VALUE(MID('Translation Review'!P156,16,2))&lt;=59,VALUE(MID('Translation Review'!P156,19,2))&gt;=0,VALUE(MID('Translation Review'!P156,19,2))&lt;=59,OR(AND(LEN('Translation Review'!P156)=21,RIGHT('Translation Review'!P156,1)="Z"),AND(LEN('Translation Review'!P156)=26,OR(MID('Translation Review'!P156,21,1)="+",MID('Translation Review'!P156,21,1)="-"),MID('Translation Review'!P156,24,1)=":",VALUE(MID('Translation Review'!P156,22,2))&gt;=0,VALUE(MID('Translation Review'!P156,22,2))&lt;=23,VALUE(MID('Translation Review'!P156,25,2))&gt;=0,VALUE(MID('Translation Review'!P156,25,2))&lt;=59))),0,1),1)</x:f>
        <x:v>0</x:v>
      </x:c>
      <x:c r="E156" s="8" t="n">
        <x:f>IF(AND(ISNUMBER('Translation Review'!Q156),'Translation Review'!Q156&gt;0,'Translation Review'!Q156=INT('Translation Review'!Q156)),0,1)</x:f>
        <x:v>0</x:v>
      </x:c>
    </x:row>
    <x:row r="157" ht="24" customHeight="1">
      <x:c r="A157" s="8" t="str">
        <x:v>act_transport_ref_high.03</x:v>
      </x:c>
      <x:c r="B157" s="8" t="n">
        <x:f>IFERROR(IF(REGEXTEST('Translation Review'!E157,"[ก-๙]"),1,0),1)</x:f>
        <x:v>0</x:v>
      </x:c>
      <x:c r="C157" s="8" t="n">
        <x:f>IF(OR('Translation Review'!F157="direct",'Translation Review'!F157="plain_english"),0,1)</x:f>
        <x:v>0</x:v>
      </x:c>
      <x:c r="D157" s="8" t="n">
        <x:f>IFERROR(IF(AND(OR(LEN('Translation Review'!P157)=21,LEN('Translation Review'!P157)=26),MID('Translation Review'!P157,6,1)="-",MID('Translation Review'!P157,9,1)="-",MID('Translation Review'!P157,12,1)="T",MID('Translation Review'!P157,15,1)=":",MID('Translation Review'!P157,18,1)=":",VALUE(MID('Translation Review'!P157,7,2))&gt;=1,VALUE(MID('Translation Review'!P157,7,2))&lt;=12,VALUE(MID('Translation Review'!P157,10,2))&gt;=1,VALUE(MID('Translation Review'!P157,10,2))&lt;=CHOOSE(VALUE(MID('Translation Review'!P157,7,2)),31,IF(AND(MOD(VALUE(MID('Translation Review'!P157,2,4)),4)=0,OR(MOD(VALUE(MID('Translation Review'!P157,2,4)),100)&lt;&gt;0,MOD(VALUE(MID('Translation Review'!P157,2,4)),400)=0)),29,28),31,30,31,30,31,31,30,31,30,31),VALUE(MID('Translation Review'!P157,13,2))&gt;=0,VALUE(MID('Translation Review'!P157,13,2))&lt;=23,VALUE(MID('Translation Review'!P157,16,2))&gt;=0,VALUE(MID('Translation Review'!P157,16,2))&lt;=59,VALUE(MID('Translation Review'!P157,19,2))&gt;=0,VALUE(MID('Translation Review'!P157,19,2))&lt;=59,OR(AND(LEN('Translation Review'!P157)=21,RIGHT('Translation Review'!P157,1)="Z"),AND(LEN('Translation Review'!P157)=26,OR(MID('Translation Review'!P157,21,1)="+",MID('Translation Review'!P157,21,1)="-"),MID('Translation Review'!P157,24,1)=":",VALUE(MID('Translation Review'!P157,22,2))&gt;=0,VALUE(MID('Translation Review'!P157,22,2))&lt;=23,VALUE(MID('Translation Review'!P157,25,2))&gt;=0,VALUE(MID('Translation Review'!P157,25,2))&lt;=59))),0,1),1)</x:f>
        <x:v>0</x:v>
      </x:c>
      <x:c r="E157" s="8" t="n">
        <x:f>IF(AND(ISNUMBER('Translation Review'!Q157),'Translation Review'!Q157&gt;0,'Translation Review'!Q157=INT('Translation Review'!Q157)),0,1)</x:f>
        <x:v>0</x:v>
      </x:c>
    </x:row>
    <x:row r="158" ht="24" customHeight="1">
      <x:c r="A158" s="8" t="str">
        <x:v>act_transport_ref_low.01</x:v>
      </x:c>
      <x:c r="B158" s="8" t="n">
        <x:f>IFERROR(IF(REGEXTEST('Translation Review'!E158,"[ก-๙]"),1,0),1)</x:f>
        <x:v>0</x:v>
      </x:c>
      <x:c r="C158" s="8" t="n">
        <x:f>IF(OR('Translation Review'!F158="direct",'Translation Review'!F158="plain_english"),0,1)</x:f>
        <x:v>0</x:v>
      </x:c>
      <x:c r="D158" s="8" t="n">
        <x:f>IFERROR(IF(AND(OR(LEN('Translation Review'!P158)=21,LEN('Translation Review'!P158)=26),MID('Translation Review'!P158,6,1)="-",MID('Translation Review'!P158,9,1)="-",MID('Translation Review'!P158,12,1)="T",MID('Translation Review'!P158,15,1)=":",MID('Translation Review'!P158,18,1)=":",VALUE(MID('Translation Review'!P158,7,2))&gt;=1,VALUE(MID('Translation Review'!P158,7,2))&lt;=12,VALUE(MID('Translation Review'!P158,10,2))&gt;=1,VALUE(MID('Translation Review'!P158,10,2))&lt;=CHOOSE(VALUE(MID('Translation Review'!P158,7,2)),31,IF(AND(MOD(VALUE(MID('Translation Review'!P158,2,4)),4)=0,OR(MOD(VALUE(MID('Translation Review'!P158,2,4)),100)&lt;&gt;0,MOD(VALUE(MID('Translation Review'!P158,2,4)),400)=0)),29,28),31,30,31,30,31,31,30,31,30,31),VALUE(MID('Translation Review'!P158,13,2))&gt;=0,VALUE(MID('Translation Review'!P158,13,2))&lt;=23,VALUE(MID('Translation Review'!P158,16,2))&gt;=0,VALUE(MID('Translation Review'!P158,16,2))&lt;=59,VALUE(MID('Translation Review'!P158,19,2))&gt;=0,VALUE(MID('Translation Review'!P158,19,2))&lt;=59,OR(AND(LEN('Translation Review'!P158)=21,RIGHT('Translation Review'!P158,1)="Z"),AND(LEN('Translation Review'!P158)=26,OR(MID('Translation Review'!P158,21,1)="+",MID('Translation Review'!P158,21,1)="-"),MID('Translation Review'!P158,24,1)=":",VALUE(MID('Translation Review'!P158,22,2))&gt;=0,VALUE(MID('Translation Review'!P158,22,2))&lt;=23,VALUE(MID('Translation Review'!P158,25,2))&gt;=0,VALUE(MID('Translation Review'!P158,25,2))&lt;=59))),0,1),1)</x:f>
        <x:v>0</x:v>
      </x:c>
      <x:c r="E158" s="8" t="n">
        <x:f>IF(AND(ISNUMBER('Translation Review'!Q158),'Translation Review'!Q158&gt;0,'Translation Review'!Q158=INT('Translation Review'!Q158)),0,1)</x:f>
        <x:v>0</x:v>
      </x:c>
    </x:row>
    <x:row r="159" ht="24" customHeight="1">
      <x:c r="A159" s="8" t="str">
        <x:v>act_transport_ref_low.02</x:v>
      </x:c>
      <x:c r="B159" s="8" t="n">
        <x:f>IFERROR(IF(REGEXTEST('Translation Review'!E159,"[ก-๙]"),1,0),1)</x:f>
        <x:v>0</x:v>
      </x:c>
      <x:c r="C159" s="8" t="n">
        <x:f>IF(OR('Translation Review'!F159="direct",'Translation Review'!F159="plain_english"),0,1)</x:f>
        <x:v>0</x:v>
      </x:c>
      <x:c r="D159" s="8" t="n">
        <x:f>IFERROR(IF(AND(OR(LEN('Translation Review'!P159)=21,LEN('Translation Review'!P159)=26),MID('Translation Review'!P159,6,1)="-",MID('Translation Review'!P159,9,1)="-",MID('Translation Review'!P159,12,1)="T",MID('Translation Review'!P159,15,1)=":",MID('Translation Review'!P159,18,1)=":",VALUE(MID('Translation Review'!P159,7,2))&gt;=1,VALUE(MID('Translation Review'!P159,7,2))&lt;=12,VALUE(MID('Translation Review'!P159,10,2))&gt;=1,VALUE(MID('Translation Review'!P159,10,2))&lt;=CHOOSE(VALUE(MID('Translation Review'!P159,7,2)),31,IF(AND(MOD(VALUE(MID('Translation Review'!P159,2,4)),4)=0,OR(MOD(VALUE(MID('Translation Review'!P159,2,4)),100)&lt;&gt;0,MOD(VALUE(MID('Translation Review'!P159,2,4)),400)=0)),29,28),31,30,31,30,31,31,30,31,30,31),VALUE(MID('Translation Review'!P159,13,2))&gt;=0,VALUE(MID('Translation Review'!P159,13,2))&lt;=23,VALUE(MID('Translation Review'!P159,16,2))&gt;=0,VALUE(MID('Translation Review'!P159,16,2))&lt;=59,VALUE(MID('Translation Review'!P159,19,2))&gt;=0,VALUE(MID('Translation Review'!P159,19,2))&lt;=59,OR(AND(LEN('Translation Review'!P159)=21,RIGHT('Translation Review'!P159,1)="Z"),AND(LEN('Translation Review'!P159)=26,OR(MID('Translation Review'!P159,21,1)="+",MID('Translation Review'!P159,21,1)="-"),MID('Translation Review'!P159,24,1)=":",VALUE(MID('Translation Review'!P159,22,2))&gt;=0,VALUE(MID('Translation Review'!P159,22,2))&lt;=23,VALUE(MID('Translation Review'!P159,25,2))&gt;=0,VALUE(MID('Translation Review'!P159,25,2))&lt;=59))),0,1),1)</x:f>
        <x:v>0</x:v>
      </x:c>
      <x:c r="E159" s="8" t="n">
        <x:f>IF(AND(ISNUMBER('Translation Review'!Q159),'Translation Review'!Q159&gt;0,'Translation Review'!Q159=INT('Translation Review'!Q159)),0,1)</x:f>
        <x:v>0</x:v>
      </x:c>
    </x:row>
    <x:row r="160" ht="24" customHeight="1">
      <x:c r="A160" s="8" t="str">
        <x:v>act_transport_ref_medium.01</x:v>
      </x:c>
      <x:c r="B160" s="8" t="n">
        <x:f>IFERROR(IF(REGEXTEST('Translation Review'!E160,"[ก-๙]"),1,0),1)</x:f>
        <x:v>0</x:v>
      </x:c>
      <x:c r="C160" s="8" t="n">
        <x:f>IF(OR('Translation Review'!F160="direct",'Translation Review'!F160="plain_english"),0,1)</x:f>
        <x:v>0</x:v>
      </x:c>
      <x:c r="D160" s="8" t="n">
        <x:f>IFERROR(IF(AND(OR(LEN('Translation Review'!P160)=21,LEN('Translation Review'!P160)=26),MID('Translation Review'!P160,6,1)="-",MID('Translation Review'!P160,9,1)="-",MID('Translation Review'!P160,12,1)="T",MID('Translation Review'!P160,15,1)=":",MID('Translation Review'!P160,18,1)=":",VALUE(MID('Translation Review'!P160,7,2))&gt;=1,VALUE(MID('Translation Review'!P160,7,2))&lt;=12,VALUE(MID('Translation Review'!P160,10,2))&gt;=1,VALUE(MID('Translation Review'!P160,10,2))&lt;=CHOOSE(VALUE(MID('Translation Review'!P160,7,2)),31,IF(AND(MOD(VALUE(MID('Translation Review'!P160,2,4)),4)=0,OR(MOD(VALUE(MID('Translation Review'!P160,2,4)),100)&lt;&gt;0,MOD(VALUE(MID('Translation Review'!P160,2,4)),400)=0)),29,28),31,30,31,30,31,31,30,31,30,31),VALUE(MID('Translation Review'!P160,13,2))&gt;=0,VALUE(MID('Translation Review'!P160,13,2))&lt;=23,VALUE(MID('Translation Review'!P160,16,2))&gt;=0,VALUE(MID('Translation Review'!P160,16,2))&lt;=59,VALUE(MID('Translation Review'!P160,19,2))&gt;=0,VALUE(MID('Translation Review'!P160,19,2))&lt;=59,OR(AND(LEN('Translation Review'!P160)=21,RIGHT('Translation Review'!P160,1)="Z"),AND(LEN('Translation Review'!P160)=26,OR(MID('Translation Review'!P160,21,1)="+",MID('Translation Review'!P160,21,1)="-"),MID('Translation Review'!P160,24,1)=":",VALUE(MID('Translation Review'!P160,22,2))&gt;=0,VALUE(MID('Translation Review'!P160,22,2))&lt;=23,VALUE(MID('Translation Review'!P160,25,2))&gt;=0,VALUE(MID('Translation Review'!P160,25,2))&lt;=59))),0,1),1)</x:f>
        <x:v>0</x:v>
      </x:c>
      <x:c r="E160" s="8" t="n">
        <x:f>IF(AND(ISNUMBER('Translation Review'!Q160),'Translation Review'!Q160&gt;0,'Translation Review'!Q160=INT('Translation Review'!Q160)),0,1)</x:f>
        <x:v>0</x:v>
      </x:c>
    </x:row>
    <x:row r="161" ht="24" customHeight="1">
      <x:c r="A161" s="8" t="str">
        <x:v>act_transport_ref_medium.02</x:v>
      </x:c>
      <x:c r="B161" s="8" t="n">
        <x:f>IFERROR(IF(REGEXTEST('Translation Review'!E161,"[ก-๙]"),1,0),1)</x:f>
        <x:v>0</x:v>
      </x:c>
      <x:c r="C161" s="8" t="n">
        <x:f>IF(OR('Translation Review'!F161="direct",'Translation Review'!F161="plain_english"),0,1)</x:f>
        <x:v>0</x:v>
      </x:c>
      <x:c r="D161" s="8" t="n">
        <x:f>IFERROR(IF(AND(OR(LEN('Translation Review'!P161)=21,LEN('Translation Review'!P161)=26),MID('Translation Review'!P161,6,1)="-",MID('Translation Review'!P161,9,1)="-",MID('Translation Review'!P161,12,1)="T",MID('Translation Review'!P161,15,1)=":",MID('Translation Review'!P161,18,1)=":",VALUE(MID('Translation Review'!P161,7,2))&gt;=1,VALUE(MID('Translation Review'!P161,7,2))&lt;=12,VALUE(MID('Translation Review'!P161,10,2))&gt;=1,VALUE(MID('Translation Review'!P161,10,2))&lt;=CHOOSE(VALUE(MID('Translation Review'!P161,7,2)),31,IF(AND(MOD(VALUE(MID('Translation Review'!P161,2,4)),4)=0,OR(MOD(VALUE(MID('Translation Review'!P161,2,4)),100)&lt;&gt;0,MOD(VALUE(MID('Translation Review'!P161,2,4)),400)=0)),29,28),31,30,31,30,31,31,30,31,30,31),VALUE(MID('Translation Review'!P161,13,2))&gt;=0,VALUE(MID('Translation Review'!P161,13,2))&lt;=23,VALUE(MID('Translation Review'!P161,16,2))&gt;=0,VALUE(MID('Translation Review'!P161,16,2))&lt;=59,VALUE(MID('Translation Review'!P161,19,2))&gt;=0,VALUE(MID('Translation Review'!P161,19,2))&lt;=59,OR(AND(LEN('Translation Review'!P161)=21,RIGHT('Translation Review'!P161,1)="Z"),AND(LEN('Translation Review'!P161)=26,OR(MID('Translation Review'!P161,21,1)="+",MID('Translation Review'!P161,21,1)="-"),MID('Translation Review'!P161,24,1)=":",VALUE(MID('Translation Review'!P161,22,2))&gt;=0,VALUE(MID('Translation Review'!P161,22,2))&lt;=23,VALUE(MID('Translation Review'!P161,25,2))&gt;=0,VALUE(MID('Translation Review'!P161,25,2))&lt;=59))),0,1),1)</x:f>
        <x:v>0</x:v>
      </x:c>
      <x:c r="E161" s="8" t="n">
        <x:f>IF(AND(ISNUMBER('Translation Review'!Q161),'Translation Review'!Q161&gt;0,'Translation Review'!Q161=INT('Translation Review'!Q161)),0,1)</x:f>
        <x:v>0</x:v>
      </x:c>
    </x:row>
    <x:row r="162" ht="24" customHeight="1">
      <x:c r="A162" s="8" t="str">
        <x:v>act_transport_ref_medium.03</x:v>
      </x:c>
      <x:c r="B162" s="8" t="n">
        <x:f>IFERROR(IF(REGEXTEST('Translation Review'!E162,"[ก-๙]"),1,0),1)</x:f>
        <x:v>0</x:v>
      </x:c>
      <x:c r="C162" s="8" t="n">
        <x:f>IF(OR('Translation Review'!F162="direct",'Translation Review'!F162="plain_english"),0,1)</x:f>
        <x:v>0</x:v>
      </x:c>
      <x:c r="D162" s="8" t="n">
        <x:f>IFERROR(IF(AND(OR(LEN('Translation Review'!P162)=21,LEN('Translation Review'!P162)=26),MID('Translation Review'!P162,6,1)="-",MID('Translation Review'!P162,9,1)="-",MID('Translation Review'!P162,12,1)="T",MID('Translation Review'!P162,15,1)=":",MID('Translation Review'!P162,18,1)=":",VALUE(MID('Translation Review'!P162,7,2))&gt;=1,VALUE(MID('Translation Review'!P162,7,2))&lt;=12,VALUE(MID('Translation Review'!P162,10,2))&gt;=1,VALUE(MID('Translation Review'!P162,10,2))&lt;=CHOOSE(VALUE(MID('Translation Review'!P162,7,2)),31,IF(AND(MOD(VALUE(MID('Translation Review'!P162,2,4)),4)=0,OR(MOD(VALUE(MID('Translation Review'!P162,2,4)),100)&lt;&gt;0,MOD(VALUE(MID('Translation Review'!P162,2,4)),400)=0)),29,28),31,30,31,30,31,31,30,31,30,31),VALUE(MID('Translation Review'!P162,13,2))&gt;=0,VALUE(MID('Translation Review'!P162,13,2))&lt;=23,VALUE(MID('Translation Review'!P162,16,2))&gt;=0,VALUE(MID('Translation Review'!P162,16,2))&lt;=59,VALUE(MID('Translation Review'!P162,19,2))&gt;=0,VALUE(MID('Translation Review'!P162,19,2))&lt;=59,OR(AND(LEN('Translation Review'!P162)=21,RIGHT('Translation Review'!P162,1)="Z"),AND(LEN('Translation Review'!P162)=26,OR(MID('Translation Review'!P162,21,1)="+",MID('Translation Review'!P162,21,1)="-"),MID('Translation Review'!P162,24,1)=":",VALUE(MID('Translation Review'!P162,22,2))&gt;=0,VALUE(MID('Translation Review'!P162,22,2))&lt;=23,VALUE(MID('Translation Review'!P162,25,2))&gt;=0,VALUE(MID('Translation Review'!P162,25,2))&lt;=59))),0,1),1)</x:f>
        <x:v>0</x:v>
      </x:c>
      <x:c r="E162" s="8" t="n">
        <x:f>IF(AND(ISNUMBER('Translation Review'!Q162),'Translation Review'!Q162&gt;0,'Translation Review'!Q162=INT('Translation Review'!Q162)),0,1)</x:f>
        <x:v>0</x:v>
      </x:c>
    </x:row>
    <x:row r="163" ht="24" customHeight="1">
      <x:c r="A163" s="8" t="str">
        <x:v>act_transport_ref_medium.04</x:v>
      </x:c>
      <x:c r="B163" s="8" t="n">
        <x:f>IFERROR(IF(REGEXTEST('Translation Review'!E163,"[ก-๙]"),1,0),1)</x:f>
        <x:v>0</x:v>
      </x:c>
      <x:c r="C163" s="8" t="n">
        <x:f>IF(OR('Translation Review'!F163="direct",'Translation Review'!F163="plain_english"),0,1)</x:f>
        <x:v>0</x:v>
      </x:c>
      <x:c r="D163" s="8" t="n">
        <x:f>IFERROR(IF(AND(OR(LEN('Translation Review'!P163)=21,LEN('Translation Review'!P163)=26),MID('Translation Review'!P163,6,1)="-",MID('Translation Review'!P163,9,1)="-",MID('Translation Review'!P163,12,1)="T",MID('Translation Review'!P163,15,1)=":",MID('Translation Review'!P163,18,1)=":",VALUE(MID('Translation Review'!P163,7,2))&gt;=1,VALUE(MID('Translation Review'!P163,7,2))&lt;=12,VALUE(MID('Translation Review'!P163,10,2))&gt;=1,VALUE(MID('Translation Review'!P163,10,2))&lt;=CHOOSE(VALUE(MID('Translation Review'!P163,7,2)),31,IF(AND(MOD(VALUE(MID('Translation Review'!P163,2,4)),4)=0,OR(MOD(VALUE(MID('Translation Review'!P163,2,4)),100)&lt;&gt;0,MOD(VALUE(MID('Translation Review'!P163,2,4)),400)=0)),29,28),31,30,31,30,31,31,30,31,30,31),VALUE(MID('Translation Review'!P163,13,2))&gt;=0,VALUE(MID('Translation Review'!P163,13,2))&lt;=23,VALUE(MID('Translation Review'!P163,16,2))&gt;=0,VALUE(MID('Translation Review'!P163,16,2))&lt;=59,VALUE(MID('Translation Review'!P163,19,2))&gt;=0,VALUE(MID('Translation Review'!P163,19,2))&lt;=59,OR(AND(LEN('Translation Review'!P163)=21,RIGHT('Translation Review'!P163,1)="Z"),AND(LEN('Translation Review'!P163)=26,OR(MID('Translation Review'!P163,21,1)="+",MID('Translation Review'!P163,21,1)="-"),MID('Translation Review'!P163,24,1)=":",VALUE(MID('Translation Review'!P163,22,2))&gt;=0,VALUE(MID('Translation Review'!P163,22,2))&lt;=23,VALUE(MID('Translation Review'!P163,25,2))&gt;=0,VALUE(MID('Translation Review'!P163,25,2))&lt;=59))),0,1),1)</x:f>
        <x:v>0</x:v>
      </x:c>
      <x:c r="E163" s="8" t="n">
        <x:f>IF(AND(ISNUMBER('Translation Review'!Q163),'Translation Review'!Q163&gt;0,'Translation Review'!Q163=INT('Translation Review'!Q163)),0,1)</x:f>
        <x:v>0</x:v>
      </x:c>
    </x:row>
    <x:row r="164" ht="24" customHeight="1">
      <x:c r="A164" s="8" t="str">
        <x:v>act_transport_two_person.01</x:v>
      </x:c>
      <x:c r="B164" s="8" t="n">
        <x:f>IFERROR(IF(REGEXTEST('Translation Review'!E164,"[ก-๙]"),1,0),1)</x:f>
        <x:v>0</x:v>
      </x:c>
      <x:c r="C164" s="8" t="n">
        <x:f>IF(OR('Translation Review'!F164="direct",'Translation Review'!F164="plain_english"),0,1)</x:f>
        <x:v>0</x:v>
      </x:c>
      <x:c r="D164" s="8" t="n">
        <x:f>IFERROR(IF(AND(OR(LEN('Translation Review'!P164)=21,LEN('Translation Review'!P164)=26),MID('Translation Review'!P164,6,1)="-",MID('Translation Review'!P164,9,1)="-",MID('Translation Review'!P164,12,1)="T",MID('Translation Review'!P164,15,1)=":",MID('Translation Review'!P164,18,1)=":",VALUE(MID('Translation Review'!P164,7,2))&gt;=1,VALUE(MID('Translation Review'!P164,7,2))&lt;=12,VALUE(MID('Translation Review'!P164,10,2))&gt;=1,VALUE(MID('Translation Review'!P164,10,2))&lt;=CHOOSE(VALUE(MID('Translation Review'!P164,7,2)),31,IF(AND(MOD(VALUE(MID('Translation Review'!P164,2,4)),4)=0,OR(MOD(VALUE(MID('Translation Review'!P164,2,4)),100)&lt;&gt;0,MOD(VALUE(MID('Translation Review'!P164,2,4)),400)=0)),29,28),31,30,31,30,31,31,30,31,30,31),VALUE(MID('Translation Review'!P164,13,2))&gt;=0,VALUE(MID('Translation Review'!P164,13,2))&lt;=23,VALUE(MID('Translation Review'!P164,16,2))&gt;=0,VALUE(MID('Translation Review'!P164,16,2))&lt;=59,VALUE(MID('Translation Review'!P164,19,2))&gt;=0,VALUE(MID('Translation Review'!P164,19,2))&lt;=59,OR(AND(LEN('Translation Review'!P164)=21,RIGHT('Translation Review'!P164,1)="Z"),AND(LEN('Translation Review'!P164)=26,OR(MID('Translation Review'!P164,21,1)="+",MID('Translation Review'!P164,21,1)="-"),MID('Translation Review'!P164,24,1)=":",VALUE(MID('Translation Review'!P164,22,2))&gt;=0,VALUE(MID('Translation Review'!P164,22,2))&lt;=23,VALUE(MID('Translation Review'!P164,25,2))&gt;=0,VALUE(MID('Translation Review'!P164,25,2))&lt;=59))),0,1),1)</x:f>
        <x:v>0</x:v>
      </x:c>
      <x:c r="E164" s="8" t="n">
        <x:f>IF(AND(ISNUMBER('Translation Review'!Q164),'Translation Review'!Q164&gt;0,'Translation Review'!Q164=INT('Translation Review'!Q164)),0,1)</x:f>
        <x:v>0</x:v>
      </x:c>
    </x:row>
    <x:row r="165" ht="24" customHeight="1">
      <x:c r="A165" s="8" t="str">
        <x:v>act_use_cart_distance.01</x:v>
      </x:c>
      <x:c r="B165" s="8" t="n">
        <x:f>IFERROR(IF(REGEXTEST('Translation Review'!E165,"[ก-๙]"),1,0),1)</x:f>
        <x:v>0</x:v>
      </x:c>
      <x:c r="C165" s="8" t="n">
        <x:f>IF(OR('Translation Review'!F165="direct",'Translation Review'!F165="plain_english"),0,1)</x:f>
        <x:v>0</x:v>
      </x:c>
      <x:c r="D165" s="8" t="n">
        <x:f>IFERROR(IF(AND(OR(LEN('Translation Review'!P165)=21,LEN('Translation Review'!P165)=26),MID('Translation Review'!P165,6,1)="-",MID('Translation Review'!P165,9,1)="-",MID('Translation Review'!P165,12,1)="T",MID('Translation Review'!P165,15,1)=":",MID('Translation Review'!P165,18,1)=":",VALUE(MID('Translation Review'!P165,7,2))&gt;=1,VALUE(MID('Translation Review'!P165,7,2))&lt;=12,VALUE(MID('Translation Review'!P165,10,2))&gt;=1,VALUE(MID('Translation Review'!P165,10,2))&lt;=CHOOSE(VALUE(MID('Translation Review'!P165,7,2)),31,IF(AND(MOD(VALUE(MID('Translation Review'!P165,2,4)),4)=0,OR(MOD(VALUE(MID('Translation Review'!P165,2,4)),100)&lt;&gt;0,MOD(VALUE(MID('Translation Review'!P165,2,4)),400)=0)),29,28),31,30,31,30,31,31,30,31,30,31),VALUE(MID('Translation Review'!P165,13,2))&gt;=0,VALUE(MID('Translation Review'!P165,13,2))&lt;=23,VALUE(MID('Translation Review'!P165,16,2))&gt;=0,VALUE(MID('Translation Review'!P165,16,2))&lt;=59,VALUE(MID('Translation Review'!P165,19,2))&gt;=0,VALUE(MID('Translation Review'!P165,19,2))&lt;=59,OR(AND(LEN('Translation Review'!P165)=21,RIGHT('Translation Review'!P165,1)="Z"),AND(LEN('Translation Review'!P165)=26,OR(MID('Translation Review'!P165,21,1)="+",MID('Translation Review'!P165,21,1)="-"),MID('Translation Review'!P165,24,1)=":",VALUE(MID('Translation Review'!P165,22,2))&gt;=0,VALUE(MID('Translation Review'!P165,22,2))&lt;=23,VALUE(MID('Translation Review'!P165,25,2))&gt;=0,VALUE(MID('Translation Review'!P165,25,2))&lt;=59))),0,1),1)</x:f>
        <x:v>0</x:v>
      </x:c>
      <x:c r="E165" s="8" t="n">
        <x:f>IF(AND(ISNUMBER('Translation Review'!Q165),'Translation Review'!Q165&gt;0,'Translation Review'!Q165=INT('Translation Review'!Q165)),0,1)</x:f>
        <x:v>0</x:v>
      </x:c>
    </x:row>
    <x:row r="166" ht="24" customHeight="1">
      <x:c r="A166" s="8" t="str">
        <x:v>act_use_legs.01</x:v>
      </x:c>
      <x:c r="B166" s="8" t="n">
        <x:f>IFERROR(IF(REGEXTEST('Translation Review'!E166,"[ก-๙]"),1,0),1)</x:f>
        <x:v>0</x:v>
      </x:c>
      <x:c r="C166" s="8" t="n">
        <x:f>IF(OR('Translation Review'!F166="direct",'Translation Review'!F166="plain_english"),0,1)</x:f>
        <x:v>0</x:v>
      </x:c>
      <x:c r="D166" s="8" t="n">
        <x:f>IFERROR(IF(AND(OR(LEN('Translation Review'!P166)=21,LEN('Translation Review'!P166)=26),MID('Translation Review'!P166,6,1)="-",MID('Translation Review'!P166,9,1)="-",MID('Translation Review'!P166,12,1)="T",MID('Translation Review'!P166,15,1)=":",MID('Translation Review'!P166,18,1)=":",VALUE(MID('Translation Review'!P166,7,2))&gt;=1,VALUE(MID('Translation Review'!P166,7,2))&lt;=12,VALUE(MID('Translation Review'!P166,10,2))&gt;=1,VALUE(MID('Translation Review'!P166,10,2))&lt;=CHOOSE(VALUE(MID('Translation Review'!P166,7,2)),31,IF(AND(MOD(VALUE(MID('Translation Review'!P166,2,4)),4)=0,OR(MOD(VALUE(MID('Translation Review'!P166,2,4)),100)&lt;&gt;0,MOD(VALUE(MID('Translation Review'!P166,2,4)),400)=0)),29,28),31,30,31,30,31,31,30,31,30,31),VALUE(MID('Translation Review'!P166,13,2))&gt;=0,VALUE(MID('Translation Review'!P166,13,2))&lt;=23,VALUE(MID('Translation Review'!P166,16,2))&gt;=0,VALUE(MID('Translation Review'!P166,16,2))&lt;=59,VALUE(MID('Translation Review'!P166,19,2))&gt;=0,VALUE(MID('Translation Review'!P166,19,2))&lt;=59,OR(AND(LEN('Translation Review'!P166)=21,RIGHT('Translation Review'!P166,1)="Z"),AND(LEN('Translation Review'!P166)=26,OR(MID('Translation Review'!P166,21,1)="+",MID('Translation Review'!P166,21,1)="-"),MID('Translation Review'!P166,24,1)=":",VALUE(MID('Translation Review'!P166,22,2))&gt;=0,VALUE(MID('Translation Review'!P166,22,2))&lt;=23,VALUE(MID('Translation Review'!P166,25,2))&gt;=0,VALUE(MID('Translation Review'!P166,25,2))&lt;=59))),0,1),1)</x:f>
        <x:v>0</x:v>
      </x:c>
      <x:c r="E166" s="8" t="n">
        <x:f>IF(AND(ISNUMBER('Translation Review'!Q166),'Translation Review'!Q166&gt;0,'Translation Review'!Q166=INT('Translation Review'!Q166)),0,1)</x:f>
        <x:v>0</x:v>
      </x:c>
    </x:row>
    <x:row r="167" ht="24" customHeight="1">
      <x:c r="A167" s="8" t="str">
        <x:v>ui.recommendations.heading</x:v>
      </x:c>
      <x:c r="B167" s="8" t="n">
        <x:f>IFERROR(IF(REGEXTEST('Translation Review'!E167,"[ก-๙]"),1,0),1)</x:f>
        <x:v>0</x:v>
      </x:c>
      <x:c r="C167" s="8" t="n">
        <x:f>IF(OR('Translation Review'!F167="direct",'Translation Review'!F167="plain_english"),0,1)</x:f>
        <x:v>0</x:v>
      </x:c>
      <x:c r="D167" s="8" t="n">
        <x:f>IFERROR(IF(AND(OR(LEN('Translation Review'!P167)=21,LEN('Translation Review'!P167)=26),MID('Translation Review'!P167,6,1)="-",MID('Translation Review'!P167,9,1)="-",MID('Translation Review'!P167,12,1)="T",MID('Translation Review'!P167,15,1)=":",MID('Translation Review'!P167,18,1)=":",VALUE(MID('Translation Review'!P167,7,2))&gt;=1,VALUE(MID('Translation Review'!P167,7,2))&lt;=12,VALUE(MID('Translation Review'!P167,10,2))&gt;=1,VALUE(MID('Translation Review'!P167,10,2))&lt;=CHOOSE(VALUE(MID('Translation Review'!P167,7,2)),31,IF(AND(MOD(VALUE(MID('Translation Review'!P167,2,4)),4)=0,OR(MOD(VALUE(MID('Translation Review'!P167,2,4)),100)&lt;&gt;0,MOD(VALUE(MID('Translation Review'!P167,2,4)),400)=0)),29,28),31,30,31,30,31,31,30,31,30,31),VALUE(MID('Translation Review'!P167,13,2))&gt;=0,VALUE(MID('Translation Review'!P167,13,2))&lt;=23,VALUE(MID('Translation Review'!P167,16,2))&gt;=0,VALUE(MID('Translation Review'!P167,16,2))&lt;=59,VALUE(MID('Translation Review'!P167,19,2))&gt;=0,VALUE(MID('Translation Review'!P167,19,2))&lt;=59,OR(AND(LEN('Translation Review'!P167)=21,RIGHT('Translation Review'!P167,1)="Z"),AND(LEN('Translation Review'!P167)=26,OR(MID('Translation Review'!P167,21,1)="+",MID('Translation Review'!P167,21,1)="-"),MID('Translation Review'!P167,24,1)=":",VALUE(MID('Translation Review'!P167,22,2))&gt;=0,VALUE(MID('Translation Review'!P167,22,2))&lt;=23,VALUE(MID('Translation Review'!P167,25,2))&gt;=0,VALUE(MID('Translation Review'!P167,25,2))&lt;=59))),0,1),1)</x:f>
        <x:v>0</x:v>
      </x:c>
      <x:c r="E167" s="8" t="n">
        <x:f>IF(AND(ISNUMBER('Translation Review'!Q167),'Translation Review'!Q167&gt;0,'Translation Review'!Q167=INT('Translation Review'!Q167)),0,1)</x:f>
        <x:v>0</x:v>
      </x:c>
    </x:row>
    <x:row r="168" ht="24" customHeight="1">
      <x:c r="A168" s="8" t="str">
        <x:v>ui.recommendations.instruction</x:v>
      </x:c>
      <x:c r="B168" s="8" t="n">
        <x:f>IFERROR(IF(REGEXTEST('Translation Review'!E168,"[ก-๙]"),1,0),1)</x:f>
        <x:v>0</x:v>
      </x:c>
      <x:c r="C168" s="8" t="n">
        <x:f>IF(OR('Translation Review'!F168="direct",'Translation Review'!F168="plain_english"),0,1)</x:f>
        <x:v>0</x:v>
      </x:c>
      <x:c r="D168" s="8" t="n">
        <x:f>IFERROR(IF(AND(OR(LEN('Translation Review'!P168)=21,LEN('Translation Review'!P168)=26),MID('Translation Review'!P168,6,1)="-",MID('Translation Review'!P168,9,1)="-",MID('Translation Review'!P168,12,1)="T",MID('Translation Review'!P168,15,1)=":",MID('Translation Review'!P168,18,1)=":",VALUE(MID('Translation Review'!P168,7,2))&gt;=1,VALUE(MID('Translation Review'!P168,7,2))&lt;=12,VALUE(MID('Translation Review'!P168,10,2))&gt;=1,VALUE(MID('Translation Review'!P168,10,2))&lt;=CHOOSE(VALUE(MID('Translation Review'!P168,7,2)),31,IF(AND(MOD(VALUE(MID('Translation Review'!P168,2,4)),4)=0,OR(MOD(VALUE(MID('Translation Review'!P168,2,4)),100)&lt;&gt;0,MOD(VALUE(MID('Translation Review'!P168,2,4)),400)=0)),29,28),31,30,31,30,31,31,30,31,30,31),VALUE(MID('Translation Review'!P168,13,2))&gt;=0,VALUE(MID('Translation Review'!P168,13,2))&lt;=23,VALUE(MID('Translation Review'!P168,16,2))&gt;=0,VALUE(MID('Translation Review'!P168,16,2))&lt;=59,VALUE(MID('Translation Review'!P168,19,2))&gt;=0,VALUE(MID('Translation Review'!P168,19,2))&lt;=59,OR(AND(LEN('Translation Review'!P168)=21,RIGHT('Translation Review'!P168,1)="Z"),AND(LEN('Translation Review'!P168)=26,OR(MID('Translation Review'!P168,21,1)="+",MID('Translation Review'!P168,21,1)="-"),MID('Translation Review'!P168,24,1)=":",VALUE(MID('Translation Review'!P168,22,2))&gt;=0,VALUE(MID('Translation Review'!P168,22,2))&lt;=23,VALUE(MID('Translation Review'!P168,25,2))&gt;=0,VALUE(MID('Translation Review'!P168,25,2))&lt;=59))),0,1),1)</x:f>
        <x:v>0</x:v>
      </x:c>
      <x:c r="E168" s="8" t="n">
        <x:f>IF(AND(ISNUMBER('Translation Review'!Q168),'Translation Review'!Q168&gt;0,'Translation Review'!Q168=INT('Translation Review'!Q168)),0,1)</x:f>
        <x:v>0</x:v>
      </x:c>
    </x:row>
    <x:row r="169" ht="24" customHeight="1">
      <x:c r="A169" s="8" t="str">
        <x:v>ui.category.posture</x:v>
      </x:c>
      <x:c r="B169" s="8" t="n">
        <x:f>IFERROR(IF(REGEXTEST('Translation Review'!E169,"[ก-๙]"),1,0),1)</x:f>
        <x:v>0</x:v>
      </x:c>
      <x:c r="C169" s="8" t="n">
        <x:f>IF(OR('Translation Review'!F169="direct",'Translation Review'!F169="plain_english"),0,1)</x:f>
        <x:v>0</x:v>
      </x:c>
      <x:c r="D169" s="8" t="n">
        <x:f>IFERROR(IF(AND(OR(LEN('Translation Review'!P169)=21,LEN('Translation Review'!P169)=26),MID('Translation Review'!P169,6,1)="-",MID('Translation Review'!P169,9,1)="-",MID('Translation Review'!P169,12,1)="T",MID('Translation Review'!P169,15,1)=":",MID('Translation Review'!P169,18,1)=":",VALUE(MID('Translation Review'!P169,7,2))&gt;=1,VALUE(MID('Translation Review'!P169,7,2))&lt;=12,VALUE(MID('Translation Review'!P169,10,2))&gt;=1,VALUE(MID('Translation Review'!P169,10,2))&lt;=CHOOSE(VALUE(MID('Translation Review'!P169,7,2)),31,IF(AND(MOD(VALUE(MID('Translation Review'!P169,2,4)),4)=0,OR(MOD(VALUE(MID('Translation Review'!P169,2,4)),100)&lt;&gt;0,MOD(VALUE(MID('Translation Review'!P169,2,4)),400)=0)),29,28),31,30,31,30,31,31,30,31,30,31),VALUE(MID('Translation Review'!P169,13,2))&gt;=0,VALUE(MID('Translation Review'!P169,13,2))&lt;=23,VALUE(MID('Translation Review'!P169,16,2))&gt;=0,VALUE(MID('Translation Review'!P169,16,2))&lt;=59,VALUE(MID('Translation Review'!P169,19,2))&gt;=0,VALUE(MID('Translation Review'!P169,19,2))&lt;=59,OR(AND(LEN('Translation Review'!P169)=21,RIGHT('Translation Review'!P169,1)="Z"),AND(LEN('Translation Review'!P169)=26,OR(MID('Translation Review'!P169,21,1)="+",MID('Translation Review'!P169,21,1)="-"),MID('Translation Review'!P169,24,1)=":",VALUE(MID('Translation Review'!P169,22,2))&gt;=0,VALUE(MID('Translation Review'!P169,22,2))&lt;=23,VALUE(MID('Translation Review'!P169,25,2))&gt;=0,VALUE(MID('Translation Review'!P169,25,2))&lt;=59))),0,1),1)</x:f>
        <x:v>0</x:v>
      </x:c>
      <x:c r="E169" s="8" t="n">
        <x:f>IF(AND(ISNUMBER('Translation Review'!Q169),'Translation Review'!Q169&gt;0,'Translation Review'!Q169=INT('Translation Review'!Q169)),0,1)</x:f>
        <x:v>0</x:v>
      </x:c>
    </x:row>
    <x:row r="170" ht="24" customHeight="1">
      <x:c r="A170" s="8" t="str">
        <x:v>ui.category.risk_reduction</x:v>
      </x:c>
      <x:c r="B170" s="8" t="n">
        <x:f>IFERROR(IF(REGEXTEST('Translation Review'!E170,"[ก-๙]"),1,0),1)</x:f>
        <x:v>0</x:v>
      </x:c>
      <x:c r="C170" s="8" t="n">
        <x:f>IF(OR('Translation Review'!F170="direct",'Translation Review'!F170="plain_english"),0,1)</x:f>
        <x:v>0</x:v>
      </x:c>
      <x:c r="D170" s="8" t="n">
        <x:f>IFERROR(IF(AND(OR(LEN('Translation Review'!P170)=21,LEN('Translation Review'!P170)=26),MID('Translation Review'!P170,6,1)="-",MID('Translation Review'!P170,9,1)="-",MID('Translation Review'!P170,12,1)="T",MID('Translation Review'!P170,15,1)=":",MID('Translation Review'!P170,18,1)=":",VALUE(MID('Translation Review'!P170,7,2))&gt;=1,VALUE(MID('Translation Review'!P170,7,2))&lt;=12,VALUE(MID('Translation Review'!P170,10,2))&gt;=1,VALUE(MID('Translation Review'!P170,10,2))&lt;=CHOOSE(VALUE(MID('Translation Review'!P170,7,2)),31,IF(AND(MOD(VALUE(MID('Translation Review'!P170,2,4)),4)=0,OR(MOD(VALUE(MID('Translation Review'!P170,2,4)),100)&lt;&gt;0,MOD(VALUE(MID('Translation Review'!P170,2,4)),400)=0)),29,28),31,30,31,30,31,31,30,31,30,31),VALUE(MID('Translation Review'!P170,13,2))&gt;=0,VALUE(MID('Translation Review'!P170,13,2))&lt;=23,VALUE(MID('Translation Review'!P170,16,2))&gt;=0,VALUE(MID('Translation Review'!P170,16,2))&lt;=59,VALUE(MID('Translation Review'!P170,19,2))&gt;=0,VALUE(MID('Translation Review'!P170,19,2))&lt;=59,OR(AND(LEN('Translation Review'!P170)=21,RIGHT('Translation Review'!P170,1)="Z"),AND(LEN('Translation Review'!P170)=26,OR(MID('Translation Review'!P170,21,1)="+",MID('Translation Review'!P170,21,1)="-"),MID('Translation Review'!P170,24,1)=":",VALUE(MID('Translation Review'!P170,22,2))&gt;=0,VALUE(MID('Translation Review'!P170,22,2))&lt;=23,VALUE(MID('Translation Review'!P170,25,2))&gt;=0,VALUE(MID('Translation Review'!P170,25,2))&lt;=59))),0,1),1)</x:f>
        <x:v>0</x:v>
      </x:c>
      <x:c r="E170" s="8" t="n">
        <x:f>IF(AND(ISNUMBER('Translation Review'!Q170),'Translation Review'!Q170&gt;0,'Translation Review'!Q170=INT('Translation Review'!Q170)),0,1)</x:f>
        <x:v>0</x:v>
      </x:c>
    </x:row>
    <x:row r="171" ht="24" customHeight="1">
      <x:c r="A171" s="8" t="str">
        <x:v>ui.category.rest_rotation</x:v>
      </x:c>
      <x:c r="B171" s="8" t="n">
        <x:f>IFERROR(IF(REGEXTEST('Translation Review'!E171,"[ก-๙]"),1,0),1)</x:f>
        <x:v>0</x:v>
      </x:c>
      <x:c r="C171" s="8" t="n">
        <x:f>IF(OR('Translation Review'!F171="direct",'Translation Review'!F171="plain_english"),0,1)</x:f>
        <x:v>0</x:v>
      </x:c>
      <x:c r="D171" s="8" t="n">
        <x:f>IFERROR(IF(AND(OR(LEN('Translation Review'!P171)=21,LEN('Translation Review'!P171)=26),MID('Translation Review'!P171,6,1)="-",MID('Translation Review'!P171,9,1)="-",MID('Translation Review'!P171,12,1)="T",MID('Translation Review'!P171,15,1)=":",MID('Translation Review'!P171,18,1)=":",VALUE(MID('Translation Review'!P171,7,2))&gt;=1,VALUE(MID('Translation Review'!P171,7,2))&lt;=12,VALUE(MID('Translation Review'!P171,10,2))&gt;=1,VALUE(MID('Translation Review'!P171,10,2))&lt;=CHOOSE(VALUE(MID('Translation Review'!P171,7,2)),31,IF(AND(MOD(VALUE(MID('Translation Review'!P171,2,4)),4)=0,OR(MOD(VALUE(MID('Translation Review'!P171,2,4)),100)&lt;&gt;0,MOD(VALUE(MID('Translation Review'!P171,2,4)),400)=0)),29,28),31,30,31,30,31,31,30,31,30,31),VALUE(MID('Translation Review'!P171,13,2))&gt;=0,VALUE(MID('Translation Review'!P171,13,2))&lt;=23,VALUE(MID('Translation Review'!P171,16,2))&gt;=0,VALUE(MID('Translation Review'!P171,16,2))&lt;=59,VALUE(MID('Translation Review'!P171,19,2))&gt;=0,VALUE(MID('Translation Review'!P171,19,2))&lt;=59,OR(AND(LEN('Translation Review'!P171)=21,RIGHT('Translation Review'!P171,1)="Z"),AND(LEN('Translation Review'!P171)=26,OR(MID('Translation Review'!P171,21,1)="+",MID('Translation Review'!P171,21,1)="-"),MID('Translation Review'!P171,24,1)=":",VALUE(MID('Translation Review'!P171,22,2))&gt;=0,VALUE(MID('Translation Review'!P171,22,2))&lt;=23,VALUE(MID('Translation Review'!P171,25,2))&gt;=0,VALUE(MID('Translation Review'!P171,25,2))&lt;=59))),0,1),1)</x:f>
        <x:v>0</x:v>
      </x:c>
      <x:c r="E171" s="8" t="n">
        <x:f>IF(AND(ISNUMBER('Translation Review'!Q171),'Translation Review'!Q171&gt;0,'Translation Review'!Q171=INT('Translation Review'!Q171)),0,1)</x:f>
        <x:v>0</x:v>
      </x:c>
    </x:row>
    <x:row r="172" ht="24" customHeight="1">
      <x:c r="A172" s="8" t="str">
        <x:v>ui.category.workload_support</x:v>
      </x:c>
      <x:c r="B172" s="8" t="n">
        <x:f>IFERROR(IF(REGEXTEST('Translation Review'!E172,"[ก-๙]"),1,0),1)</x:f>
        <x:v>0</x:v>
      </x:c>
      <x:c r="C172" s="8" t="n">
        <x:f>IF(OR('Translation Review'!F172="direct",'Translation Review'!F172="plain_english"),0,1)</x:f>
        <x:v>0</x:v>
      </x:c>
      <x:c r="D172" s="8" t="n">
        <x:f>IFERROR(IF(AND(OR(LEN('Translation Review'!P172)=21,LEN('Translation Review'!P172)=26),MID('Translation Review'!P172,6,1)="-",MID('Translation Review'!P172,9,1)="-",MID('Translation Review'!P172,12,1)="T",MID('Translation Review'!P172,15,1)=":",MID('Translation Review'!P172,18,1)=":",VALUE(MID('Translation Review'!P172,7,2))&gt;=1,VALUE(MID('Translation Review'!P172,7,2))&lt;=12,VALUE(MID('Translation Review'!P172,10,2))&gt;=1,VALUE(MID('Translation Review'!P172,10,2))&lt;=CHOOSE(VALUE(MID('Translation Review'!P172,7,2)),31,IF(AND(MOD(VALUE(MID('Translation Review'!P172,2,4)),4)=0,OR(MOD(VALUE(MID('Translation Review'!P172,2,4)),100)&lt;&gt;0,MOD(VALUE(MID('Translation Review'!P172,2,4)),400)=0)),29,28),31,30,31,30,31,31,30,31,30,31),VALUE(MID('Translation Review'!P172,13,2))&gt;=0,VALUE(MID('Translation Review'!P172,13,2))&lt;=23,VALUE(MID('Translation Review'!P172,16,2))&gt;=0,VALUE(MID('Translation Review'!P172,16,2))&lt;=59,VALUE(MID('Translation Review'!P172,19,2))&gt;=0,VALUE(MID('Translation Review'!P172,19,2))&lt;=59,OR(AND(LEN('Translation Review'!P172)=21,RIGHT('Translation Review'!P172,1)="Z"),AND(LEN('Translation Review'!P172)=26,OR(MID('Translation Review'!P172,21,1)="+",MID('Translation Review'!P172,21,1)="-"),MID('Translation Review'!P172,24,1)=":",VALUE(MID('Translation Review'!P172,22,2))&gt;=0,VALUE(MID('Translation Review'!P172,22,2))&lt;=23,VALUE(MID('Translation Review'!P172,25,2))&gt;=0,VALUE(MID('Translation Review'!P172,25,2))&lt;=59))),0,1),1)</x:f>
        <x:v>0</x:v>
      </x:c>
      <x:c r="E172" s="8" t="n">
        <x:f>IF(AND(ISNUMBER('Translation Review'!Q172),'Translation Review'!Q172&gt;0,'Translation Review'!Q172=INT('Translation Review'!Q172)),0,1)</x:f>
        <x:v>0</x:v>
      </x:c>
    </x:row>
    <x:row r="173" ht="24" customHeight="1">
      <x:c r="A173" s="8" t="str">
        <x:v>ui.recommendations.empty</x:v>
      </x:c>
      <x:c r="B173" s="8" t="n">
        <x:f>IFERROR(IF(REGEXTEST('Translation Review'!E173,"[ก-๙]"),1,0),1)</x:f>
        <x:v>0</x:v>
      </x:c>
      <x:c r="C173" s="8" t="n">
        <x:f>IF(OR('Translation Review'!F173="direct",'Translation Review'!F173="plain_english"),0,1)</x:f>
        <x:v>0</x:v>
      </x:c>
      <x:c r="D173" s="8" t="n">
        <x:f>IFERROR(IF(AND(OR(LEN('Translation Review'!P173)=21,LEN('Translation Review'!P173)=26),MID('Translation Review'!P173,6,1)="-",MID('Translation Review'!P173,9,1)="-",MID('Translation Review'!P173,12,1)="T",MID('Translation Review'!P173,15,1)=":",MID('Translation Review'!P173,18,1)=":",VALUE(MID('Translation Review'!P173,7,2))&gt;=1,VALUE(MID('Translation Review'!P173,7,2))&lt;=12,VALUE(MID('Translation Review'!P173,10,2))&gt;=1,VALUE(MID('Translation Review'!P173,10,2))&lt;=CHOOSE(VALUE(MID('Translation Review'!P173,7,2)),31,IF(AND(MOD(VALUE(MID('Translation Review'!P173,2,4)),4)=0,OR(MOD(VALUE(MID('Translation Review'!P173,2,4)),100)&lt;&gt;0,MOD(VALUE(MID('Translation Review'!P173,2,4)),400)=0)),29,28),31,30,31,30,31,31,30,31,30,31),VALUE(MID('Translation Review'!P173,13,2))&gt;=0,VALUE(MID('Translation Review'!P173,13,2))&lt;=23,VALUE(MID('Translation Review'!P173,16,2))&gt;=0,VALUE(MID('Translation Review'!P173,16,2))&lt;=59,VALUE(MID('Translation Review'!P173,19,2))&gt;=0,VALUE(MID('Translation Review'!P173,19,2))&lt;=59,OR(AND(LEN('Translation Review'!P173)=21,RIGHT('Translation Review'!P173,1)="Z"),AND(LEN('Translation Review'!P173)=26,OR(MID('Translation Review'!P173,21,1)="+",MID('Translation Review'!P173,21,1)="-"),MID('Translation Review'!P173,24,1)=":",VALUE(MID('Translation Review'!P173,22,2))&gt;=0,VALUE(MID('Translation Review'!P173,22,2))&lt;=23,VALUE(MID('Translation Review'!P173,25,2))&gt;=0,VALUE(MID('Translation Review'!P173,25,2))&lt;=59))),0,1),1)</x:f>
        <x:v>0</x:v>
      </x:c>
      <x:c r="E173" s="8" t="n">
        <x:f>IF(AND(ISNUMBER('Translation Review'!Q173),'Translation Review'!Q173&gt;0,'Translation Review'!Q173=INT('Translation Review'!Q173)),0,1)</x:f>
        <x:v>0</x:v>
      </x:c>
    </x:row>
    <x:row r="174" ht="24" customHeight="1">
      <x:c r="A174" s="8" t="str">
        <x:v>ui.recommendations.full</x:v>
      </x:c>
      <x:c r="B174" s="8" t="n">
        <x:f>IFERROR(IF(REGEXTEST('Translation Review'!E174,"[ก-๙]"),1,0),1)</x:f>
        <x:v>0</x:v>
      </x:c>
      <x:c r="C174" s="8" t="n">
        <x:f>IF(OR('Translation Review'!F174="direct",'Translation Review'!F174="plain_english"),0,1)</x:f>
        <x:v>0</x:v>
      </x:c>
      <x:c r="D174" s="8" t="n">
        <x:f>IFERROR(IF(AND(OR(LEN('Translation Review'!P174)=21,LEN('Translation Review'!P174)=26),MID('Translation Review'!P174,6,1)="-",MID('Translation Review'!P174,9,1)="-",MID('Translation Review'!P174,12,1)="T",MID('Translation Review'!P174,15,1)=":",MID('Translation Review'!P174,18,1)=":",VALUE(MID('Translation Review'!P174,7,2))&gt;=1,VALUE(MID('Translation Review'!P174,7,2))&lt;=12,VALUE(MID('Translation Review'!P174,10,2))&gt;=1,VALUE(MID('Translation Review'!P174,10,2))&lt;=CHOOSE(VALUE(MID('Translation Review'!P174,7,2)),31,IF(AND(MOD(VALUE(MID('Translation Review'!P174,2,4)),4)=0,OR(MOD(VALUE(MID('Translation Review'!P174,2,4)),100)&lt;&gt;0,MOD(VALUE(MID('Translation Review'!P174,2,4)),400)=0)),29,28),31,30,31,30,31,31,30,31,30,31),VALUE(MID('Translation Review'!P174,13,2))&gt;=0,VALUE(MID('Translation Review'!P174,13,2))&lt;=23,VALUE(MID('Translation Review'!P174,16,2))&gt;=0,VALUE(MID('Translation Review'!P174,16,2))&lt;=59,VALUE(MID('Translation Review'!P174,19,2))&gt;=0,VALUE(MID('Translation Review'!P174,19,2))&lt;=59,OR(AND(LEN('Translation Review'!P174)=21,RIGHT('Translation Review'!P174,1)="Z"),AND(LEN('Translation Review'!P174)=26,OR(MID('Translation Review'!P174,21,1)="+",MID('Translation Review'!P174,21,1)="-"),MID('Translation Review'!P174,24,1)=":",VALUE(MID('Translation Review'!P174,22,2))&gt;=0,VALUE(MID('Translation Review'!P174,22,2))&lt;=23,VALUE(MID('Translation Review'!P174,25,2))&gt;=0,VALUE(MID('Translation Review'!P174,25,2))&lt;=59))),0,1),1)</x:f>
        <x:v>0</x:v>
      </x:c>
      <x:c r="E174" s="8" t="n">
        <x:f>IF(AND(ISNUMBER('Translation Review'!Q174),'Translation Review'!Q174&gt;0,'Translation Review'!Q174=INT('Translation Review'!Q174)),0,1)</x:f>
        <x:v>0</x:v>
      </x:c>
    </x:row>
    <x:row r="175" ht="24" customHeight="1">
      <x:c r="A175" s="8" t="str">
        <x:v>report.selected_recommendations</x:v>
      </x:c>
      <x:c r="B175" s="8" t="n">
        <x:f>IFERROR(IF(REGEXTEST('Translation Review'!E175,"[ก-๙]"),1,0),1)</x:f>
        <x:v>0</x:v>
      </x:c>
      <x:c r="C175" s="8" t="n">
        <x:f>IF(OR('Translation Review'!F175="direct",'Translation Review'!F175="plain_english"),0,1)</x:f>
        <x:v>0</x:v>
      </x:c>
      <x:c r="D175" s="8" t="n">
        <x:f>IFERROR(IF(AND(OR(LEN('Translation Review'!P175)=21,LEN('Translation Review'!P175)=26),MID('Translation Review'!P175,6,1)="-",MID('Translation Review'!P175,9,1)="-",MID('Translation Review'!P175,12,1)="T",MID('Translation Review'!P175,15,1)=":",MID('Translation Review'!P175,18,1)=":",VALUE(MID('Translation Review'!P175,7,2))&gt;=1,VALUE(MID('Translation Review'!P175,7,2))&lt;=12,VALUE(MID('Translation Review'!P175,10,2))&gt;=1,VALUE(MID('Translation Review'!P175,10,2))&lt;=CHOOSE(VALUE(MID('Translation Review'!P175,7,2)),31,IF(AND(MOD(VALUE(MID('Translation Review'!P175,2,4)),4)=0,OR(MOD(VALUE(MID('Translation Review'!P175,2,4)),100)&lt;&gt;0,MOD(VALUE(MID('Translation Review'!P175,2,4)),400)=0)),29,28),31,30,31,30,31,31,30,31,30,31),VALUE(MID('Translation Review'!P175,13,2))&gt;=0,VALUE(MID('Translation Review'!P175,13,2))&lt;=23,VALUE(MID('Translation Review'!P175,16,2))&gt;=0,VALUE(MID('Translation Review'!P175,16,2))&lt;=59,VALUE(MID('Translation Review'!P175,19,2))&gt;=0,VALUE(MID('Translation Review'!P175,19,2))&lt;=59,OR(AND(LEN('Translation Review'!P175)=21,RIGHT('Translation Review'!P175,1)="Z"),AND(LEN('Translation Review'!P175)=26,OR(MID('Translation Review'!P175,21,1)="+",MID('Translation Review'!P175,21,1)="-"),MID('Translation Review'!P175,24,1)=":",VALUE(MID('Translation Review'!P175,22,2))&gt;=0,VALUE(MID('Translation Review'!P175,22,2))&lt;=23,VALUE(MID('Translation Review'!P175,25,2))&gt;=0,VALUE(MID('Translation Review'!P175,25,2))&lt;=59))),0,1),1)</x:f>
        <x:v>0</x:v>
      </x:c>
      <x:c r="E175" s="8" t="n">
        <x:f>IF(AND(ISNUMBER('Translation Review'!Q175),'Translation Review'!Q175&gt;0,'Translation Review'!Q175=INT('Translation Review'!Q175)),0,1)</x:f>
        <x:v>0</x:v>
      </x:c>
    </x:row>
    <x:row r="176" ht="24" customHeight="1">
      <x:c r="A176" s="8" t="str">
        <x:v>system.unmapped_saved_recommendation</x:v>
      </x:c>
      <x:c r="B176" s="8" t="n">
        <x:f>IFERROR(IF(REGEXTEST('Translation Review'!E176,"[ก-๙]"),1,0),1)</x:f>
        <x:v>0</x:v>
      </x:c>
      <x:c r="C176" s="8" t="n">
        <x:f>IF(OR('Translation Review'!F176="direct",'Translation Review'!F176="plain_english"),0,1)</x:f>
        <x:v>0</x:v>
      </x:c>
      <x:c r="D176" s="8" t="n">
        <x:f>IFERROR(IF(AND(OR(LEN('Translation Review'!P176)=21,LEN('Translation Review'!P176)=26),MID('Translation Review'!P176,6,1)="-",MID('Translation Review'!P176,9,1)="-",MID('Translation Review'!P176,12,1)="T",MID('Translation Review'!P176,15,1)=":",MID('Translation Review'!P176,18,1)=":",VALUE(MID('Translation Review'!P176,7,2))&gt;=1,VALUE(MID('Translation Review'!P176,7,2))&lt;=12,VALUE(MID('Translation Review'!P176,10,2))&gt;=1,VALUE(MID('Translation Review'!P176,10,2))&lt;=CHOOSE(VALUE(MID('Translation Review'!P176,7,2)),31,IF(AND(MOD(VALUE(MID('Translation Review'!P176,2,4)),4)=0,OR(MOD(VALUE(MID('Translation Review'!P176,2,4)),100)&lt;&gt;0,MOD(VALUE(MID('Translation Review'!P176,2,4)),400)=0)),29,28),31,30,31,30,31,31,30,31,30,31),VALUE(MID('Translation Review'!P176,13,2))&gt;=0,VALUE(MID('Translation Review'!P176,13,2))&lt;=23,VALUE(MID('Translation Review'!P176,16,2))&gt;=0,VALUE(MID('Translation Review'!P176,16,2))&lt;=59,VALUE(MID('Translation Review'!P176,19,2))&gt;=0,VALUE(MID('Translation Review'!P176,19,2))&lt;=59,OR(AND(LEN('Translation Review'!P176)=21,RIGHT('Translation Review'!P176,1)="Z"),AND(LEN('Translation Review'!P176)=26,OR(MID('Translation Review'!P176,21,1)="+",MID('Translation Review'!P176,21,1)="-"),MID('Translation Review'!P176,24,1)=":",VALUE(MID('Translation Review'!P176,22,2))&gt;=0,VALUE(MID('Translation Review'!P176,22,2))&lt;=23,VALUE(MID('Translation Review'!P176,25,2))&gt;=0,VALUE(MID('Translation Review'!P176,25,2))&lt;=59))),0,1),1)</x:f>
        <x:v>0</x:v>
      </x:c>
      <x:c r="E176" s="8" t="n">
        <x:f>IF(AND(ISNUMBER('Translation Review'!Q176),'Translation Review'!Q176&gt;0,'Translation Review'!Q176=INT('Translation Review'!Q176)),0,1)</x:f>
        <x:v>0</x:v>
      </x:c>
    </x:row>
  </x:sheetData>
  <x:conditionalFormatting sqref="B2:E176">
    <x:cfRule type="cellIs" dxfId="8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071b6ffe4247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0" hidden="0" customWidth="1"/>
  </x:cols>
  <x:sheetData>
    <x:row r="1" ht="38" customHeight="1">
      <x:c r="A1" s="14" t="str">
        <x:v>Translation Approval Coverage</x:v>
      </x:c>
      <x:c r="B1" s="14"/>
    </x:row>
    <x:row r="3" ht="26" customHeight="1">
      <x:c r="A3" s="6" t="str">
        <x:v>Metric</x:v>
      </x:c>
      <x:c r="B3" s="6" t="str">
        <x:v>Value</x:v>
      </x:c>
    </x:row>
    <x:row r="4" ht="26" customHeight="1">
      <x:c r="A4" s="20" t="str">
        <x:v>Total master rows</x:v>
      </x:c>
      <x:c r="B4" s="20" t="n">
        <x:f>COUNTA('Master Catalog'!A2:A176)</x:f>
        <x:v>175</x:v>
      </x:c>
    </x:row>
    <x:row r="5" ht="26" customHeight="1">
      <x:c r="A5" s="21" t="str">
        <x:v>Total review rows</x:v>
      </x:c>
      <x:c r="B5" s="21" t="n">
        <x:f>COUNTA('Translation Review'!A2:A1000)</x:f>
        <x:v>175</x:v>
      </x:c>
    </x:row>
    <x:row r="6" ht="26" customHeight="1">
      <x:c r="A6" s="21" t="str">
        <x:v>Approved</x:v>
      </x:c>
      <x:c r="B6" s="21" t="n">
        <x:f>COUNTIF('Translation Review'!N2:N1000,"approved")</x:f>
        <x:v>175</x:v>
      </x:c>
    </x:row>
    <x:row r="7" ht="26" customHeight="1">
      <x:c r="A7" s="21" t="str">
        <x:v>Pending</x:v>
      </x:c>
      <x:c r="B7" s="21" t="n">
        <x:f>COUNTIF('Translation Review'!N2:N1000,"pending")</x:f>
        <x:v>0</x:v>
      </x:c>
    </x:row>
    <x:row r="8" ht="26" customHeight="1">
      <x:c r="A8" s="21" t="str">
        <x:v>Needs revision</x:v>
      </x:c>
      <x:c r="B8" s="21" t="n">
        <x:f>COUNTIF('Translation Review'!N2:N1000,"needs_revision")</x:f>
        <x:v>0</x:v>
      </x:c>
    </x:row>
    <x:row r="9" ht="26" customHeight="1">
      <x:c r="A9" s="21" t="str">
        <x:v>Rejected</x:v>
      </x:c>
      <x:c r="B9" s="21" t="n">
        <x:f>COUNTIF('Translation Review'!N2:N1000,"rejected")</x:f>
        <x:v>0</x:v>
      </x:c>
    </x:row>
    <x:row r="10" ht="26" customHeight="1">
      <x:c r="A10" s="21" t="str">
        <x:v>Approval coverage</x:v>
      </x:c>
      <x:c r="B10" s="22" t="n">
        <x:f>IF(B5=0,0,B6/B5)</x:f>
        <x:v>1</x:v>
      </x:c>
    </x:row>
    <x:row r="11" ht="26" customHeight="1">
      <x:c r="A11" s="21" t="str">
        <x:v>Master/review identity mismatches</x:v>
      </x:c>
      <x:c r="B11" s="21" t="n">
        <x:f>SUMPRODUCT(--('Translation Review'!A2:A176&lt;&gt;'Master Catalog'!A2:A176))+SUMPRODUCT(--('Translation Review'!B2:B176&lt;&gt;'Master Catalog'!B2:B176))+SUMPRODUCT(--('Translation Review'!C2:C176&lt;&gt;'Master Catalog'!D2:D176))+SUMPRODUCT(--('Translation Review'!D2:D176&lt;&gt;'Master Catalog'!J2:J176))+SUMPRODUCT(--('Translation Review'!R2:R176&lt;&gt;'Master Catalog'!K2:K176))+SUMPRODUCT(--('Translation Review'!S2:S176&lt;&gt;'Master Catalog'!L2:L176))</x:f>
        <x:v>0</x:v>
      </x:c>
    </x:row>
    <x:row r="12" ht="26" customHeight="1">
      <x:c r="A12" s="21" t="str">
        <x:v>Duplicate or blank review IDs</x:v>
      </x:c>
      <x:c r="B12" s="21" t="n">
        <x:f>COUNTBLANK('Translation Review'!A2:A176)+SUMPRODUCT(--(COUNTIF('Translation Review'!A2:A176,'Translation Review'!A2:A176)&gt;1))</x:f>
        <x:v>0</x:v>
      </x:c>
    </x:row>
    <x:row r="13" ht="26" customHeight="1">
      <x:c r="A13" s="21" t="str">
        <x:v>Master rows not source_verified</x:v>
      </x:c>
      <x:c r="B13" s="21" t="n">
        <x:f>COUNTIFS('Master Catalog'!A2:A176,"&lt;&gt;",'Master Catalog'!P2:P176,"&lt;&gt;source_verified")</x:f>
        <x:v>0</x:v>
      </x:c>
    </x:row>
    <x:row r="14" ht="26" customHeight="1">
      <x:c r="A14" s="21" t="str">
        <x:v>Blank Thai source text</x:v>
      </x:c>
      <x:c r="B14" s="21" t="n">
        <x:f>COUNTBLANK('Translation Review'!D2:D176)</x:f>
        <x:v>0</x:v>
      </x:c>
    </x:row>
    <x:row r="15" ht="26" customHeight="1">
      <x:c r="A15" s="21" t="str">
        <x:v>Blank English draft</x:v>
      </x:c>
      <x:c r="B15" s="21" t="n">
        <x:f>COUNTBLANK('Translation Review'!E2:E176)</x:f>
        <x:v>0</x:v>
      </x:c>
    </x:row>
    <x:row r="16" ht="26" customHeight="1">
      <x:c r="A16" s="21" t="str">
        <x:v>English draft contains Thai</x:v>
      </x:c>
      <x:c r="B16" s="21" t="n">
        <x:f>SUM('Gate Audit'!B2:B176)</x:f>
        <x:v>0</x:v>
      </x:c>
    </x:row>
    <x:row r="17" ht="26" customHeight="1">
      <x:c r="A17" s="21" t="str">
        <x:v>Invalid translation style</x:v>
      </x:c>
      <x:c r="B17" s="21" t="n">
        <x:f>SUM('Gate Audit'!C2:C176)</x:f>
        <x:v>0</x:v>
      </x:c>
    </x:row>
    <x:row r="18" ht="26" customHeight="1">
      <x:c r="A18" s="21" t="str">
        <x:v>Unresolved or invalid review checks</x:v>
      </x:c>
      <x:c r="B18" s="21" t="n">
        <x:f>COUNTIF('Translation Review'!G2:G176,"&lt;&gt;pass")+COUNTIFS('Translation Review'!H2:H176,"&lt;&gt;pass",'Translation Review'!H2:H176,"&lt;&gt;not_applicable")+COUNTIF('Translation Review'!I2:I176,"&lt;&gt;pass")+COUNTIF('Translation Review'!J2:J176,"&lt;&gt;pass")+COUNTIF('Translation Review'!K2:K176,"&lt;&gt;pass")+COUNTIF('Translation Review'!L2:L176,"&lt;&gt;pass")</x:f>
        <x:v>0</x:v>
      </x:c>
    </x:row>
    <x:row r="19" ht="26" customHeight="1">
      <x:c r="A19" s="21" t="str">
        <x:v>Blank approved_by</x:v>
      </x:c>
      <x:c r="B19" s="21" t="n">
        <x:f>COUNTBLANK('Translation Review'!O2:O176)</x:f>
        <x:v>0</x:v>
      </x:c>
    </x:row>
    <x:row r="20" ht="26" customHeight="1">
      <x:c r="A20" s="21" t="str">
        <x:v>Invalid approved_at timezone</x:v>
      </x:c>
      <x:c r="B20" s="21" t="n">
        <x:f>SUM('Gate Audit'!D2:D176)</x:f>
        <x:v>0</x:v>
      </x:c>
    </x:row>
    <x:row r="21" ht="26" customHeight="1">
      <x:c r="A21" s="21" t="str">
        <x:v>Invalid translation version</x:v>
      </x:c>
      <x:c r="B21" s="21" t="n">
        <x:f>SUM('Gate Audit'!E2:E176)</x:f>
        <x:v>0</x:v>
      </x:c>
    </x:row>
    <x:row r="22" ht="26" customHeight="1">
      <x:c r="A22" s="21" t="str">
        <x:v>Conflict report rows</x:v>
      </x:c>
      <x:c r="B22" s="21" t="n">
        <x:f>COUNTA('Conflicts'!A2:A100)</x:f>
        <x:v>4</x:v>
      </x:c>
    </x:row>
    <x:row r="23" ht="26" customHeight="1">
      <x:c r="A23" s="21" t="str">
        <x:v>Missing, duplicate, or unexpected conflicts</x:v>
      </x:c>
      <x:c r="B23" s="21" t="n">
        <x:f>ABS(COUNTA('Conflicts'!A2:A100)-4)+ABS(COUNTIFS('Conflicts'!A2:A100,"act_ref_weight_high.01",'Conflicts'!B2:B100,"act_ref_weight_high")-1)+ABS(COUNTIFS('Conflicts'!A2:A100,"act_avoid_bend.01",'Conflicts'!B2:B100,"act_avoid_bend")-1)+ABS(COUNTIFS('Conflicts'!A2:A100,"act_harvest_empty_often.01",'Conflicts'!B2:B100,"act_harvest_empty_often")-1)+ABS(COUNTIFS('Conflicts'!A2:A100,"act_ref_weight_low.01",'Conflicts'!B2:B100,"act_ref_weight_low")-1)</x:f>
        <x:v>0</x:v>
      </x:c>
    </x:row>
    <x:row r="24" ht="26" customHeight="1">
      <x:c r="A24" s="21" t="str">
        <x:v>Blank conflict metadata fields</x:v>
      </x:c>
      <x:c r="B24" s="21" t="n">
        <x:f>SUM('Conflicts'!I2:I5)</x:f>
        <x:v>0</x:v>
      </x:c>
    </x:row>
    <x:row r="25" ht="26" customHeight="1">
      <x:c r="A25" s="21" t="str">
        <x:v>Unapproved conflicts</x:v>
      </x:c>
      <x:c r="B25" s="21" t="n">
        <x:f>COUNTIFS('Conflicts'!A2:A100,"&lt;&gt;",'Conflicts'!H2:H100,"&lt;&gt;approved")</x:f>
        <x:v>0</x:v>
      </x:c>
    </x:row>
    <x:row r="26" ht="26" customHeight="1"/>
    <x:row r="27" ht="26" customHeight="1">
      <x:c r="A27" s="18" t="str">
        <x:v>Development gate</x:v>
      </x:c>
      <x:c r="B27" s="19" t="str">
        <x:f>IF(AND(B4&gt;0,B4=B5,B10=100%,B7=0,B8=0,B9=0,B11=0,B12=0,B13=0,B14=0,B15=0,B16=0,B17=0,B18=0,B19=0,B20=0,B21=0,B22=4,B23=0,B24=0,B25=0),"READY","BLOCKED")</x:f>
        <x:v>READY</x:v>
      </x:c>
    </x:row>
  </x:sheetData>
  <x:mergeCells>
    <x:mergeCell ref="A1:B1"/>
  </x:mergeCells>
  <x:conditionalFormatting sqref="B27:B27">
    <x:cfRule type="containsText" dxfId="9" priority="1" operator="containsText" text="READY"/>
    <x:cfRule type="containsText" dxfId="10" priority="2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0" customHeight="1">
      <x:c r="A1" s="14" t="str">
        <x:v>วิธีตรวจคำแปลก่อนนำขึ้นแอป</x:v>
      </x:c>
      <x:c r="B1" s="14"/>
      <x:c r="C1" s="14"/>
      <x:c r="D1" s="14"/>
      <x:c r="E1" s="14"/>
      <x:c r="F1" s="14"/>
    </x:row>
    <x:row r="3" ht="46" customHeight="1">
      <x:c r="A3" s="26" t="str">
        <x:v>1. ตรวจข้อความไทยเทียบกับเอกสารและเลขหน้าในคอลัมน์ source_id / source_page</x:v>
      </x:c>
      <x:c r="B3" s="26"/>
      <x:c r="C3" s="26"/>
      <x:c r="D3" s="26"/>
      <x:c r="E3" s="26"/>
      <x:c r="F3" s="26"/>
    </x:row>
    <x:row r="4" ht="46" customHeight="1">
      <x:c r="A4" s="26" t="str">
        <x:v>2. ตรวจว่าภาษาอังกฤษไม่มีอักษรไทย ให้ความหมายตรงกัน อ่านเข้าใจง่าย และไม่เพิ่มคำแนะนำใหม่</x:v>
      </x:c>
      <x:c r="B4" s="26"/>
      <x:c r="C4" s="26"/>
      <x:c r="D4" s="26"/>
      <x:c r="E4" s="26"/>
      <x:c r="F4" s="26"/>
    </x:row>
    <x:row r="5" ht="46" customHeight="1">
      <x:c r="A5" s="26" t="str">
        <x:v>3. ตรวจตัวเลข ช่วงตัวเลข หน่วย เวลา ความเร่งด่วน และคำปฏิเสธ เช่น ห้าม/ไม่เกิน/ทันที</x:v>
      </x:c>
      <x:c r="B5" s="26"/>
      <x:c r="C5" s="26"/>
      <x:c r="D5" s="26"/>
      <x:c r="E5" s="26"/>
      <x:c r="F5" s="26"/>
    </x:row>
    <x:row r="6" ht="46" customHeight="1">
      <x:c r="A6" s="26" t="str">
        <x:v>4. หากต้องแก้ ให้แก้ english_draft ใส่ review_comment และเลือก needs_revision</x:v>
      </x:c>
      <x:c r="B6" s="26"/>
      <x:c r="C6" s="26"/>
      <x:c r="D6" s="26"/>
      <x:c r="E6" s="26"/>
      <x:c r="F6" s="26"/>
    </x:row>
    <x:row r="7" ht="60" customHeight="1">
      <x:c r="A7" s="26" t="str">
        <x:v>5. เมื่อข้อความถูกต้อง ให้ตั้ง translation_style เป็น direct หรือ plain_english, meaning_review เป็น pass และ approval_status เป็น approved</x:v>
      </x:c>
      <x:c r="B7" s="26"/>
      <x:c r="C7" s="26"/>
      <x:c r="D7" s="26"/>
      <x:c r="E7" s="26"/>
      <x:c r="F7" s="26"/>
    </x:row>
    <x:row r="8" ht="46" customHeight="1">
      <x:c r="A8" s="26" t="str">
        <x:v>6. ใส่ชื่อผู้ตรวจใน approved_by และวันเวลาอนุมัติใน approved_at</x:v>
      </x:c>
      <x:c r="B8" s="26"/>
      <x:c r="C8" s="26"/>
      <x:c r="D8" s="26"/>
      <x:c r="E8" s="26"/>
      <x:c r="F8" s="26"/>
    </x:row>
    <x:row r="9" ht="60" customHeight="1">
      <x:c r="A9" s="26" t="str">
        <x:v>7. ตรวจชีต Conflicts ทั้ง 4 ประเด็น ให้ issue/source/value/action ครบ และอนุมัติแนวทางหรือระบุข้อความแก้ไข</x:v>
      </x:c>
      <x:c r="B9" s="26"/>
      <x:c r="C9" s="26"/>
      <x:c r="D9" s="26"/>
      <x:c r="E9" s="26"/>
      <x:c r="F9" s="26"/>
    </x:row>
    <x:row r="10" ht="60" customHeight="1">
      <x:c r="A10" s="26" t="str">
        <x:v>8. Development gate จะเป็น READY เมื่อ identity, source_verified, English-only text, translation style, review/approval metadata และ Conflicts ครบและ approved ทั้งหมด</x:v>
      </x:c>
      <x:c r="B10" s="26"/>
      <x:c r="C10" s="26"/>
      <x:c r="D10" s="26"/>
      <x:c r="E10" s="26"/>
      <x:c r="F10" s="26"/>
    </x:row>
    <x:row r="11" ht="46" customHeight="1">
      <x:c r="A11" s="26" t="str">
        <x:v>9. คีย์ภายในและ schema งานวิจัยยังคงภาษาอังกฤษ และไม่ต้องแปล</x:v>
      </x:c>
      <x:c r="B11" s="26"/>
      <x:c r="C11" s="26"/>
      <x:c r="D11" s="26"/>
      <x:c r="E11" s="26"/>
      <x:c r="F11" s="26"/>
    </x:row>
    <x:row r="12" ht="46" customHeight="1">
      <x:c r="A12" s="26" t="str">
        <x:v>10. รอบนี้ไม่มีการแก้สูตรคำนวณ ไม่มีการเปลี่ยนโมเดล และไม่มีการ train ML</x:v>
      </x:c>
      <x:c r="B12" s="26"/>
      <x:c r="C12" s="26"/>
      <x:c r="D12" s="26"/>
      <x:c r="E12" s="26"/>
      <x:c r="F12" s="26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</x:mergeCells>
  <x:pageMargins left="0.7" right="0.7" top="0.75" bottom="0.75" header="0.3" footer="0.3"/>
</x:worksheet>
</file>