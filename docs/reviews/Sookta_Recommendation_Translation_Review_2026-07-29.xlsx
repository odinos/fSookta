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74411ef78c5478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Translation Review" sheetId="1" r:id="R4379b340a9c941d6"/>
    <x:sheet xmlns:r="http://schemas.openxmlformats.org/officeDocument/2006/relationships" name="Source Register" sheetId="2" r:id="R624b16b662b244cb"/>
    <x:sheet xmlns:r="http://schemas.openxmlformats.org/officeDocument/2006/relationships" name="Conflicts" sheetId="3" r:id="R7a25fd90a51e4e31"/>
    <x:sheet xmlns:r="http://schemas.openxmlformats.org/officeDocument/2006/relationships" name="Coverage" sheetId="4" r:id="R322445ca0b794b1a"/>
    <x:sheet xmlns:r="http://schemas.openxmlformats.org/officeDocument/2006/relationships" name="Instructions" sheetId="5" r:id="R66099d45002743f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%"/>
  </x:numFmts>
  <x:fonts count="4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E7E6E6"/>
      </x:patternFill>
    </x:fill>
    <x:fill>
      <x:patternFill patternType="solid">
        <x:fgColor rgb="FFEEF5FB"/>
      </x:patternFill>
    </x:fill>
  </x:fills>
  <x:borders count="14">
    <x:border/>
    <x:border/>
    <x:border>
      <x:bottom style="medium">
        <x:color rgb="FF8EA9C1"/>
      </x:bottom>
    </x:border>
    <x:border>
      <x:bottom style="medium">
        <x:color rgb="FF8EA9C1"/>
      </x:bottom>
    </x:border>
    <x:border>
      <x:left style="medium">
        <x:color rgb="FF7F8C8D"/>
      </x:left>
      <x:top style="medium">
        <x:color rgb="FF7F8C8D"/>
      </x:top>
      <x:bottom style="medium">
        <x:color rgb="FF7F8C8D"/>
      </x:bottom>
    </x:border>
    <x:border>
      <x:right style="medium">
        <x:color rgb="FF7F8C8D"/>
      </x:right>
      <x:top style="medium">
        <x:color rgb="FF7F8C8D"/>
      </x:top>
      <x:bottom style="medium">
        <x:color rgb="FF7F8C8D"/>
      </x:bottom>
    </x:border>
    <x:border>
      <x:left style="medium">
        <x:color rgb="FF7F8C8D"/>
      </x:left>
      <x:top style="medium">
        <x:color rgb="FF7F8C8D"/>
      </x:top>
      <x:bottom style="medium">
        <x:color rgb="FF7F8C8D"/>
      </x:bottom>
    </x:border>
    <x:border>
      <x:right style="medium">
        <x:color rgb="FF7F8C8D"/>
      </x:right>
      <x:top style="medium">
        <x:color rgb="FF7F8C8D"/>
      </x:top>
      <x:bottom style="medium">
        <x:color rgb="FF7F8C8D"/>
      </x:bottom>
    </x:border>
    <x:border>
      <x:bottom style="thin">
        <x:color rgb="FFD9E2F3"/>
      </x:bottom>
    </x:border>
    <x:border>
      <x:top style="thin">
        <x:color rgb="FFD9E2F3"/>
      </x:top>
      <x:bottom style="thin">
        <x:color rgb="FFD9E2F3"/>
      </x:bottom>
    </x:border>
    <x:border>
      <x:bottom style="thin">
        <x:color rgb="FFD9E2F3"/>
      </x:bottom>
    </x:border>
    <x:border>
      <x:top style="thin">
        <x:color rgb="FFD9E2F3"/>
      </x:top>
      <x:bottom style="thin">
        <x:color rgb="FFD9E2F3"/>
      </x:bottom>
    </x:border>
    <x:border>
      <x:left style="thin">
        <x:color rgb="FFB4C7E7"/>
      </x:left>
      <x:right style="thin">
        <x:color rgb="FFB4C7E7"/>
      </x:right>
      <x:top style="thin">
        <x:color rgb="FFB4C7E7"/>
      </x:top>
      <x:bottom style="thin">
        <x:color rgb="FFB4C7E7"/>
      </x:bottom>
    </x:border>
    <x:border>
      <x:left style="thin">
        <x:color rgb="FFB4C7E7"/>
      </x:left>
      <x:right style="thin">
        <x:color rgb="FFB4C7E7"/>
      </x:right>
      <x:top style="thin">
        <x:color rgb="FFB4C7E7"/>
      </x:top>
      <x:bottom style="thin">
        <x:color rgb="FFB4C7E7"/>
      </x:bottom>
    </x:border>
  </x:borders>
  <x:cellStyleXfs count="1">
    <x:xf numFmtId="0" fontId="0" fillId="0" borderId="0"/>
  </x:cellStyleXfs>
  <x:cellXfs count="49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0" fillId="2" borderId="1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2" xfId="0" applyNumberFormat="1" applyFont="1" applyFill="1" applyBorder="1"/>
    <x:xf numFmtId="0" fontId="1" fillId="2" borderId="3" xfId="0" applyNumberFormat="1" applyFont="1" applyFill="1" applyBorder="1"/>
    <x:xf numFmtId="0" fontId="1" fillId="2" borderId="2" xfId="0" applyNumberFormat="1" applyFont="1" applyFill="1" applyBorder="1" applyAlignment="1">
      <x:alignment wrapText="1"/>
    </x:xf>
    <x:xf numFmtId="0" fontId="1" fillId="2" borderId="3" xfId="0" applyNumberFormat="1" applyFont="1" applyFill="1" applyBorder="1" applyAlignment="1">
      <x:alignment wrapText="1"/>
    </x:xf>
    <x:xf numFmtId="0" fontId="1" fillId="2" borderId="2" xfId="0" applyNumberFormat="1" applyFont="1" applyFill="1" applyBorder="1" applyAlignment="1">
      <x:alignment horizontal="center" wrapText="1"/>
    </x:xf>
    <x:xf numFmtId="0" fontId="1" fillId="2" borderId="3" xfId="0" applyNumberFormat="1" applyFont="1" applyFill="1" applyBorder="1" applyAlignment="1">
      <x:alignment horizontal="center" wrapText="1"/>
    </x:xf>
    <x:xf numFmtId="0" fontId="1" fillId="2" borderId="2" xfId="0" applyNumberFormat="1" applyFont="1" applyFill="1" applyBorder="1" applyAlignment="1">
      <x:alignment horizontal="center" vertical="center" wrapText="1"/>
    </x:xf>
    <x:xf numFmtId="0" fontId="1" fillId="2" borderId="3" xfId="0" applyNumberFormat="1" applyFont="1" applyFill="1" applyBorder="1" applyAlignment="1">
      <x:alignment horizontal="center" vertical="center" wrapText="1"/>
    </x:xf>
    <x:xf numFmtId="0" fontId="1" fillId="2" borderId="2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vertical="top"/>
    </x:xf>
    <x:xf numFmtId="0" fontId="1" fillId="2" borderId="3" xfId="0" applyNumberFormat="1" applyFont="1" applyFill="1" applyBorder="1" applyAlignment="1">
      <x:alignment horizontal="center" vertical="top" wrapText="1"/>
    </x:xf>
    <x:xf numFmtId="0" fontId="0" fillId="0" borderId="1" xfId="0" applyNumberFormat="1" applyFont="1" applyFill="1" applyBorder="1" applyAlignment="1">
      <x:alignment vertical="top"/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0" fontId="2" fillId="2" borderId="0" xfId="0" applyNumberFormat="1" applyFont="1" applyFill="1" applyBorder="1"/>
    <x:xf numFmtId="0" fontId="2" fillId="2" borderId="1" xfId="0" applyNumberFormat="1" applyFont="1" applyFill="1" applyBorder="1"/>
    <x:xf numFmtId="0" fontId="2" fillId="2" borderId="0" xfId="0" applyNumberFormat="1" applyFont="1" applyFill="1" applyBorder="1" applyAlignment="1">
      <x:alignment horizontal="center"/>
    </x:xf>
    <x:xf numFmtId="0" fontId="2" fillId="2" borderId="1" xfId="0" applyNumberFormat="1" applyFont="1" applyFill="1" applyBorder="1" applyAlignment="1">
      <x:alignment horizontal="center"/>
    </x:xf>
    <x:xf numFmtId="0" fontId="2" fillId="2" borderId="0" xfId="0" applyNumberFormat="1" applyFont="1" applyFill="1" applyBorder="1" applyAlignment="1">
      <x:alignment horizontal="center" vertical="center"/>
    </x:xf>
    <x:xf numFmtId="0" fontId="2" fillId="2" borderId="1" xfId="0" applyNumberFormat="1" applyFont="1" applyFill="1" applyBorder="1" applyAlignment="1">
      <x:alignment horizontal="center"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0" fillId="3" borderId="0" xfId="0" applyNumberFormat="1" applyFont="1" applyFill="1" applyBorder="1"/>
    <x:xf numFmtId="0" fontId="0" fillId="3" borderId="1" xfId="0" applyNumberFormat="1" applyFont="1" applyFill="1" applyBorder="1"/>
    <x:xf numFmtId="0" fontId="3" fillId="3" borderId="0" xfId="0" applyNumberFormat="1" applyFont="1" applyFill="1" applyBorder="1"/>
    <x:xf numFmtId="0" fontId="3" fillId="3" borderId="1" xfId="0" applyNumberFormat="1" applyFont="1" applyFill="1" applyBorder="1"/>
    <x:xf numFmtId="0" fontId="3" fillId="3" borderId="4" xfId="0" applyNumberFormat="1" applyFont="1" applyFill="1" applyBorder="1"/>
    <x:xf numFmtId="0" fontId="3" fillId="3" borderId="5" xfId="0" applyNumberFormat="1" applyFont="1" applyFill="1" applyBorder="1"/>
    <x:xf numFmtId="0" fontId="3" fillId="3" borderId="6" xfId="0" applyNumberFormat="1" applyFont="1" applyFill="1" applyBorder="1"/>
    <x:xf numFmtId="0" fontId="3" fillId="3" borderId="7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20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200" fontId="0" fillId="0" borderId="11" xfId="0" applyNumberFormat="1" applyFont="1" applyFill="1" applyBorder="1"/>
    <x:xf numFmtId="0" fontId="0" fillId="4" borderId="0" xfId="0" applyNumberFormat="1" applyFont="1" applyFill="1" applyBorder="1"/>
    <x:xf numFmtId="0" fontId="0" fillId="4" borderId="1" xfId="0" applyNumberFormat="1" applyFont="1" applyFill="1" applyBorder="1"/>
    <x:xf numFmtId="0" fontId="0" fillId="4" borderId="12" xfId="0" applyNumberFormat="1" applyFont="1" applyFill="1" applyBorder="1"/>
    <x:xf numFmtId="0" fontId="0" fillId="4" borderId="13" xfId="0" applyNumberFormat="1" applyFont="1" applyFill="1" applyBorder="1"/>
    <x:xf numFmtId="0" fontId="0" fillId="4" borderId="12" xfId="0" applyNumberFormat="1" applyFont="1" applyFill="1" applyBorder="1" applyAlignment="1">
      <x:alignment wrapText="1"/>
    </x:xf>
    <x:xf numFmtId="0" fontId="0" fillId="4" borderId="13" xfId="0" applyNumberFormat="1" applyFont="1" applyFill="1" applyBorder="1" applyAlignment="1">
      <x:alignment wrapText="1"/>
    </x:xf>
    <x:xf numFmtId="0" fontId="0" fillId="4" borderId="12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8">
    <x:dxf>
      <x:font>
        <x:b/>
        <x:color rgb="FF274E13"/>
      </x:font>
      <x:fill>
        <x:patternFill patternType="solid">
          <x:bgColor rgb="FFD9EAD3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  <x:dxf>
      <x:font>
        <x:b/>
        <x:color rgb="FF990000"/>
      </x:font>
      <x:fill>
        <x:patternFill patternType="solid">
          <x:bgColor rgb="FFF4CCCC"/>
        </x:patternFill>
      </x:fill>
    </x:dxf>
    <x:dxf>
      <x:font>
        <x:b/>
        <x:color rgb="FF990000"/>
      </x:font>
      <x:fill>
        <x:patternFill patternType="solid">
          <x:bgColor rgb="FFF4CCCC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  <x:dxf>
      <x:font>
        <x:b/>
        <x:color rgb="FF274E13"/>
      </x:font>
      <x:fill>
        <x:patternFill patternType="solid">
          <x:bgColor rgb="FFD9EAD3"/>
        </x:patternFill>
      </x:fill>
    </x:dxf>
    <x:dxf>
      <x:font>
        <x:b/>
        <x:color rgb="FF274E13"/>
      </x:font>
      <x:fill>
        <x:patternFill patternType="solid">
          <x:bgColor rgb="FFD9EAD3"/>
        </x:patternFill>
      </x:fill>
    </x:dxf>
    <x:dxf>
      <x:font>
        <x:b/>
        <x:color rgb="FF990000"/>
      </x:font>
      <x:fill>
        <x:patternFill patternType="solid">
          <x:bgColor rgb="FFF4CC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84d949619be4d34" /><Relationship Type="http://schemas.openxmlformats.org/officeDocument/2006/relationships/theme" Target="/xl/theme/theme1.xml" Id="Rc5940af40ed54afd" /><Relationship Type="http://schemas.openxmlformats.org/officeDocument/2006/relationships/sharedStrings" Target="/xl/sharedStrings.xml" Id="R35be425adba548a0" /><Relationship Type="http://schemas.openxmlformats.org/officeDocument/2006/relationships/worksheet" Target="/xl/worksheets/sheet1.xml" Id="R4379b340a9c941d6" /><Relationship Type="http://schemas.openxmlformats.org/officeDocument/2006/relationships/worksheet" Target="/xl/worksheets/sheet2.xml" Id="R624b16b662b244cb" /><Relationship Type="http://schemas.openxmlformats.org/officeDocument/2006/relationships/worksheet" Target="/xl/worksheets/sheet3.xml" Id="R7a25fd90a51e4e31" /><Relationship Type="http://schemas.openxmlformats.org/officeDocument/2006/relationships/worksheet" Target="/xl/worksheets/sheet4.xml" Id="R322445ca0b794b1a" /><Relationship Type="http://schemas.openxmlformats.org/officeDocument/2006/relationships/worksheet" Target="/xl/worksheets/sheet5.xml" Id="R66099d45002743ff" /></Relationships>
</file>

<file path=xl/tables/table1.xml><?xml version="1.0" encoding="utf-8"?>
<x:table xmlns:x="http://schemas.openxmlformats.org/spreadsheetml/2006/main" id="1" name="TranslationReviewTable" displayName="TranslationReviewTable" ref="A1:S176" headerRowCount="1" totalsRowCount="0" totalsRowShown="0">
  <x:autoFilter ref="A1:S176"/>
  <x:tableColumns count="19">
    <x:tableColumn id="1" name="recommendation_id"/>
    <x:tableColumn id="2" name="selection_key"/>
    <x:tableColumn id="3" name="record_type"/>
    <x:tableColumn id="4" name="thai_source_text"/>
    <x:tableColumn id="5" name="english_draft"/>
    <x:tableColumn id="6" name="translation_style"/>
    <x:tableColumn id="7" name="numbers_match"/>
    <x:tableColumn id="8" name="units_match"/>
    <x:tableColumn id="9" name="timing_match"/>
    <x:tableColumn id="10" name="urgency_match"/>
    <x:tableColumn id="11" name="negation_match"/>
    <x:tableColumn id="12" name="meaning_review"/>
    <x:tableColumn id="13" name="review_comment"/>
    <x:tableColumn id="14" name="approval_status"/>
    <x:tableColumn id="15" name="approved_by"/>
    <x:tableColumn id="16" name="approved_at"/>
    <x:tableColumn id="17" name="translation_version"/>
    <x:tableColumn id="18" name="source_id"/>
    <x:tableColumn id="19" name="source_page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SourceRegisterTable" displayName="SourceRegisterTable" ref="A1:H7" headerRowCount="1" totalsRowCount="0" totalsRowShown="0">
  <x:autoFilter ref="A1:H7"/>
  <x:tableColumns count="8">
    <x:tableColumn id="1" name="Source ID"/>
    <x:tableColumn id="2" name="Title"/>
    <x:tableColumn id="3" name="Language"/>
    <x:tableColumn id="4" name="Priority"/>
    <x:tableColumn id="5" name="Role"/>
    <x:tableColumn id="6" name="SHA-256"/>
    <x:tableColumn id="7" name="Local path"/>
    <x:tableColumn id="8" name="Distribution 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ConflictsTable" displayName="ConflictsTable" ref="A1:H5" headerRowCount="1" totalsRowCount="0" totalsRowShown="0">
  <x:autoFilter ref="A1:H5"/>
  <x:tableColumns count="8">
    <x:tableColumn id="1" name="recommendation_id"/>
    <x:tableColumn id="2" name="selection_key"/>
    <x:tableColumn id="3" name="issue_type"/>
    <x:tableColumn id="4" name="source_a"/>
    <x:tableColumn id="5" name="source_b"/>
    <x:tableColumn id="6" name="conflicting_value"/>
    <x:tableColumn id="7" name="proposed_action"/>
    <x:tableColumn id="8" name="approval_statu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c8293db5268541e8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93fcd2fb6411441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ba8888cdc565414e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9" hidden="0" customWidth="1"/>
    <x:col min="2" max="2" width="28" hidden="0" customWidth="1"/>
    <x:col min="3" max="3" width="17" hidden="0" customWidth="1"/>
    <x:col min="4" max="4" width="48" hidden="0" customWidth="1"/>
    <x:col min="5" max="5" width="55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34" hidden="0" customWidth="1"/>
    <x:col min="14" max="14" width="17" hidden="0" customWidth="1"/>
    <x:col min="15" max="15" width="22" hidden="0" customWidth="1"/>
    <x:col min="16" max="16" width="22" hidden="0" customWidth="1"/>
    <x:col min="17" max="17" width="13" hidden="0" customWidth="1"/>
    <x:col min="18" max="18" width="34" hidden="0" customWidth="1"/>
    <x:col min="19" max="19" width="12" hidden="0" customWidth="1"/>
  </x:cols>
  <x:sheetData>
    <x:row r="1" ht="34" customHeight="1">
      <x:c r="A1" s="14" t="str">
        <x:v>recommendation_id</x:v>
      </x:c>
      <x:c r="B1" s="14" t="str">
        <x:v>selection_key</x:v>
      </x:c>
      <x:c r="C1" s="14" t="str">
        <x:v>record_type</x:v>
      </x:c>
      <x:c r="D1" s="14" t="str">
        <x:v>thai_source_text</x:v>
      </x:c>
      <x:c r="E1" s="14" t="str">
        <x:v>english_draft</x:v>
      </x:c>
      <x:c r="F1" s="14" t="str">
        <x:v>translation_style</x:v>
      </x:c>
      <x:c r="G1" s="14" t="str">
        <x:v>numbers_match</x:v>
      </x:c>
      <x:c r="H1" s="14" t="str">
        <x:v>units_match</x:v>
      </x:c>
      <x:c r="I1" s="14" t="str">
        <x:v>timing_match</x:v>
      </x:c>
      <x:c r="J1" s="14" t="str">
        <x:v>urgency_match</x:v>
      </x:c>
      <x:c r="K1" s="14" t="str">
        <x:v>negation_match</x:v>
      </x:c>
      <x:c r="L1" s="14" t="str">
        <x:v>meaning_review</x:v>
      </x:c>
      <x:c r="M1" s="14" t="str">
        <x:v>review_comment</x:v>
      </x:c>
      <x:c r="N1" s="14" t="str">
        <x:v>approval_status</x:v>
      </x:c>
      <x:c r="O1" s="14" t="str">
        <x:v>approved_by</x:v>
      </x:c>
      <x:c r="P1" s="14" t="str">
        <x:v>approved_at</x:v>
      </x:c>
      <x:c r="Q1" s="14" t="str">
        <x:v>translation_version</x:v>
      </x:c>
      <x:c r="R1" s="14" t="str">
        <x:v>source_id</x:v>
      </x:c>
      <x:c r="S1" s="14" t="str">
        <x:v>source_page</x:v>
      </x:c>
    </x:row>
    <x:row r="2" ht="48" customHeight="1">
      <x:c r="A2" s="15" t="str">
        <x:v>act_adj_eye_level.01</x:v>
      </x:c>
      <x:c r="B2" s="15" t="str">
        <x:v>act_adj_eye_level</x:v>
      </x:c>
      <x:c r="C2" s="15" t="str">
        <x:v>recommendation</x:v>
      </x:c>
      <x:c r="D2" s="18" t="str">
        <x:v>ปรับงานให้อยู่ระดับสายตา</x:v>
      </x:c>
      <x:c r="E2" s="18" t="str">
        <x:v>Adjust the work to eye level.</x:v>
      </x:c>
      <x:c r="F2" s="15" t="str">
        <x:v>direct</x:v>
      </x:c>
      <x:c r="G2" s="15" t="str">
        <x:v>pass</x:v>
      </x:c>
      <x:c r="H2" s="15" t="str">
        <x:v>not_applicable</x:v>
      </x:c>
      <x:c r="I2" s="15" t="str">
        <x:v>pending_human_review</x:v>
      </x:c>
      <x:c r="J2" s="15" t="str">
        <x:v>pending_human_review</x:v>
      </x:c>
      <x:c r="K2" s="15" t="str">
        <x:v>pending_human_review</x:v>
      </x:c>
      <x:c r="L2" s="15" t="str">
        <x:v>pending_human_review</x:v>
      </x:c>
      <x:c r="M2" s="18" t="str"/>
      <x:c r="N2" s="15" t="str">
        <x:v>pending</x:v>
      </x:c>
      <x:c r="O2" s="15" t="str"/>
      <x:c r="P2" s="15" t="str"/>
      <x:c r="Q2" s="15" t="str">
        <x:v>1</x:v>
      </x:c>
      <x:c r="R2" s="15" t="str">
        <x:v>body_map_recommendations</x:v>
      </x:c>
      <x:c r="S2" s="15" t="str">
        <x:v>1-2</x:v>
      </x:c>
    </x:row>
    <x:row r="3" ht="48" customHeight="1">
      <x:c r="A3" s="15" t="str">
        <x:v>act_adj_eye_level.02</x:v>
      </x:c>
      <x:c r="B3" s="15" t="str">
        <x:v>act_adj_eye_level</x:v>
      </x:c>
      <x:c r="C3" s="15" t="str">
        <x:v>recommendation</x:v>
      </x:c>
      <x:c r="D3" s="18" t="str">
        <x:v>ลดการก้มคอ</x:v>
      </x:c>
      <x:c r="E3" s="18" t="str">
        <x:v>Reduce neck bending.</x:v>
      </x:c>
      <x:c r="F3" s="15" t="str">
        <x:v>direct</x:v>
      </x:c>
      <x:c r="G3" s="15" t="str">
        <x:v>pass</x:v>
      </x:c>
      <x:c r="H3" s="15" t="str">
        <x:v>not_applicable</x:v>
      </x:c>
      <x:c r="I3" s="15" t="str">
        <x:v>pending_human_review</x:v>
      </x:c>
      <x:c r="J3" s="15" t="str">
        <x:v>pending_human_review</x:v>
      </x:c>
      <x:c r="K3" s="15" t="str">
        <x:v>pending_human_review</x:v>
      </x:c>
      <x:c r="L3" s="15" t="str">
        <x:v>pending_human_review</x:v>
      </x:c>
      <x:c r="M3" s="18" t="str"/>
      <x:c r="N3" s="15" t="str">
        <x:v>pending</x:v>
      </x:c>
      <x:c r="O3" s="15" t="str"/>
      <x:c r="P3" s="15" t="str"/>
      <x:c r="Q3" s="15" t="str">
        <x:v>1</x:v>
      </x:c>
      <x:c r="R3" s="15" t="str">
        <x:v>body_map_recommendations</x:v>
      </x:c>
      <x:c r="S3" s="15" t="str">
        <x:v>1-2</x:v>
      </x:c>
    </x:row>
    <x:row r="4" ht="48" customHeight="1">
      <x:c r="A4" s="15" t="str">
        <x:v>act_adj_wrist.01</x:v>
      </x:c>
      <x:c r="B4" s="15" t="str">
        <x:v>act_adj_wrist</x:v>
      </x:c>
      <x:c r="C4" s="15" t="str">
        <x:v>recommendation</x:v>
      </x:c>
      <x:c r="D4" s="18" t="str">
        <x:v>ปรับด้ามจับเครื่องมือให้ข้อมืออยู่ในแนวตรง</x:v>
      </x:c>
      <x:c r="E4" s="18" t="str">
        <x:v>Keep the wrist in a neutral position.</x:v>
      </x:c>
      <x:c r="F4" s="15" t="str">
        <x:v>direct</x:v>
      </x:c>
      <x:c r="G4" s="15" t="str">
        <x:v>pass</x:v>
      </x:c>
      <x:c r="H4" s="15" t="str">
        <x:v>not_applicable</x:v>
      </x:c>
      <x:c r="I4" s="15" t="str">
        <x:v>pending_human_review</x:v>
      </x:c>
      <x:c r="J4" s="15" t="str">
        <x:v>pending_human_review</x:v>
      </x:c>
      <x:c r="K4" s="15" t="str">
        <x:v>pending_human_review</x:v>
      </x:c>
      <x:c r="L4" s="15" t="str">
        <x:v>pending_human_review</x:v>
      </x:c>
      <x:c r="M4" s="18" t="str"/>
      <x:c r="N4" s="15" t="str">
        <x:v>pending</x:v>
      </x:c>
      <x:c r="O4" s="15" t="str"/>
      <x:c r="P4" s="15" t="str"/>
      <x:c r="Q4" s="15" t="str">
        <x:v>1</x:v>
      </x:c>
      <x:c r="R4" s="15" t="str">
        <x:v>body_map_recommendations</x:v>
      </x:c>
      <x:c r="S4" s="15" t="str">
        <x:v>5-6</x:v>
      </x:c>
    </x:row>
    <x:row r="5" ht="48" customHeight="1">
      <x:c r="A5" s="15" t="str">
        <x:v>act_avoid_bend.01</x:v>
      </x:c>
      <x:c r="B5" s="15" t="str">
        <x:v>act_avoid_bend</x:v>
      </x:c>
      <x:c r="C5" s="15" t="str">
        <x:v>recommendation</x:v>
      </x:c>
      <x:c r="D5" s="18" t="str">
        <x:v>ลดการก้มโดยยกพื้นที่ทำงานให้สูงขึ้น</x:v>
      </x:c>
      <x:c r="E5" s="18" t="str">
        <x:v>Reduce bending by raising the work area.</x:v>
      </x:c>
      <x:c r="F5" s="15" t="str">
        <x:v>direct</x:v>
      </x:c>
      <x:c r="G5" s="15" t="str">
        <x:v>pass</x:v>
      </x:c>
      <x:c r="H5" s="15" t="str">
        <x:v>not_applicable</x:v>
      </x:c>
      <x:c r="I5" s="15" t="str">
        <x:v>pending_human_review</x:v>
      </x:c>
      <x:c r="J5" s="15" t="str">
        <x:v>pending_human_review</x:v>
      </x:c>
      <x:c r="K5" s="15" t="str">
        <x:v>pending_human_review</x:v>
      </x:c>
      <x:c r="L5" s="15" t="str">
        <x:v>pending_human_review</x:v>
      </x:c>
      <x:c r="M5" s="18" t="str"/>
      <x:c r="N5" s="15" t="str">
        <x:v>pending</x:v>
      </x:c>
      <x:c r="O5" s="15" t="str"/>
      <x:c r="P5" s="15" t="str"/>
      <x:c r="Q5" s="15" t="str">
        <x:v>1</x:v>
      </x:c>
      <x:c r="R5" s="15" t="str">
        <x:v>body_map_recommendations</x:v>
      </x:c>
      <x:c r="S5" s="15" t="str">
        <x:v>2-3</x:v>
      </x:c>
    </x:row>
    <x:row r="6" ht="48" customHeight="1">
      <x:c r="A6" s="15" t="str">
        <x:v>act_avoid_twist.01</x:v>
      </x:c>
      <x:c r="B6" s="15" t="str">
        <x:v>act_avoid_twist</x:v>
      </x:c>
      <x:c r="C6" s="15" t="str">
        <x:v>recommendation</x:v>
      </x:c>
      <x:c r="D6" s="18" t="str">
        <x:v>หลีกเลี่ยงการบิดลำตัวหรือเอียงตัวขณะทำงาน</x:v>
      </x:c>
      <x:c r="E6" s="18" t="str">
        <x:v>Avoid twisting or side bending while working.</x:v>
      </x:c>
      <x:c r="F6" s="15" t="str">
        <x:v>direct</x:v>
      </x:c>
      <x:c r="G6" s="15" t="str">
        <x:v>pass</x:v>
      </x:c>
      <x:c r="H6" s="15" t="str">
        <x:v>not_applicable</x:v>
      </x:c>
      <x:c r="I6" s="15" t="str">
        <x:v>pending_human_review</x:v>
      </x:c>
      <x:c r="J6" s="15" t="str">
        <x:v>pending_human_review</x:v>
      </x:c>
      <x:c r="K6" s="15" t="str">
        <x:v>pending_human_review</x:v>
      </x:c>
      <x:c r="L6" s="15" t="str">
        <x:v>pending_human_review</x:v>
      </x:c>
      <x:c r="M6" s="18" t="str"/>
      <x:c r="N6" s="15" t="str">
        <x:v>pending</x:v>
      </x:c>
      <x:c r="O6" s="15" t="str"/>
      <x:c r="P6" s="15" t="str"/>
      <x:c r="Q6" s="15" t="str">
        <x:v>1</x:v>
      </x:c>
      <x:c r="R6" s="15" t="str">
        <x:v>body_map_recommendations</x:v>
      </x:c>
      <x:c r="S6" s="15" t="str">
        <x:v>2-3</x:v>
      </x:c>
    </x:row>
    <x:row r="7" ht="48" customHeight="1">
      <x:c r="A7" s="15" t="str">
        <x:v>act_body_arms_high.01</x:v>
      </x:c>
      <x:c r="B7" s="15" t="str">
        <x:v>act_body_arms_high</x:v>
      </x:c>
      <x:c r="C7" s="15" t="str">
        <x:v>recommendation</x:v>
      </x:c>
      <x:c r="D7" s="18" t="str">
        <x:v>ไม่ยกแขนเหนือไหล่ต่อเนื่องเกิน 2 นาที</x:v>
      </x:c>
      <x:c r="E7" s="18" t="str">
        <x:v>Do not keep arms above shoulder level for more than 2 minutes.</x:v>
      </x:c>
      <x:c r="F7" s="15" t="str">
        <x:v>direct</x:v>
      </x:c>
      <x:c r="G7" s="15" t="str">
        <x:v>pass</x:v>
      </x:c>
      <x:c r="H7" s="15" t="str">
        <x:v>pass</x:v>
      </x:c>
      <x:c r="I7" s="15" t="str">
        <x:v>pending_human_review</x:v>
      </x:c>
      <x:c r="J7" s="15" t="str">
        <x:v>pending_human_review</x:v>
      </x:c>
      <x:c r="K7" s="15" t="str">
        <x:v>pending_human_review</x:v>
      </x:c>
      <x:c r="L7" s="15" t="str">
        <x:v>pending_human_review</x:v>
      </x:c>
      <x:c r="M7" s="18" t="str"/>
      <x:c r="N7" s="15" t="str">
        <x:v>pending</x:v>
      </x:c>
      <x:c r="O7" s="15" t="str"/>
      <x:c r="P7" s="15" t="str"/>
      <x:c r="Q7" s="15" t="str">
        <x:v>1</x:v>
      </x:c>
      <x:c r="R7" s="15" t="str">
        <x:v>body_map_recommendations</x:v>
      </x:c>
      <x:c r="S7" s="15" t="str">
        <x:v>4</x:v>
      </x:c>
    </x:row>
    <x:row r="8" ht="48" customHeight="1">
      <x:c r="A8" s="15" t="str">
        <x:v>act_body_arms_high.02</x:v>
      </x:c>
      <x:c r="B8" s="15" t="str">
        <x:v>act_body_arms_high</x:v>
      </x:c>
      <x:c r="C8" s="15" t="str">
        <x:v>recommendation</x:v>
      </x:c>
      <x:c r="D8" s="18" t="str">
        <x:v>พักแขน 3-5 นาทีทุก 15-20 นาที</x:v>
      </x:c>
      <x:c r="E8" s="18" t="str">
        <x:v>Rest 3-5 minutes every 15-20 minutes.</x:v>
      </x:c>
      <x:c r="F8" s="15" t="str">
        <x:v>direct</x:v>
      </x:c>
      <x:c r="G8" s="15" t="str">
        <x:v>pass</x:v>
      </x:c>
      <x:c r="H8" s="15" t="str">
        <x:v>pass</x:v>
      </x:c>
      <x:c r="I8" s="15" t="str">
        <x:v>pending_human_review</x:v>
      </x:c>
      <x:c r="J8" s="15" t="str">
        <x:v>pending_human_review</x:v>
      </x:c>
      <x:c r="K8" s="15" t="str">
        <x:v>pending_human_review</x:v>
      </x:c>
      <x:c r="L8" s="15" t="str">
        <x:v>pending_human_review</x:v>
      </x:c>
      <x:c r="M8" s="18" t="str"/>
      <x:c r="N8" s="15" t="str">
        <x:v>pending</x:v>
      </x:c>
      <x:c r="O8" s="15" t="str"/>
      <x:c r="P8" s="15" t="str"/>
      <x:c r="Q8" s="15" t="str">
        <x:v>1</x:v>
      </x:c>
      <x:c r="R8" s="15" t="str">
        <x:v>body_map_recommendations</x:v>
      </x:c>
      <x:c r="S8" s="15" t="str">
        <x:v>4</x:v>
      </x:c>
    </x:row>
    <x:row r="9" ht="48" customHeight="1">
      <x:c r="A9" s="15" t="str">
        <x:v>act_body_arms_high.03</x:v>
      </x:c>
      <x:c r="B9" s="15" t="str">
        <x:v>act_body_arms_high</x:v>
      </x:c>
      <x:c r="C9" s="15" t="str">
        <x:v>recommendation</x:v>
      </x:c>
      <x:c r="D9" s="18" t="str">
        <x:v>ใช้เครื่องมือด้ามยาวหรือแท่นยืนที่มั่นคง</x:v>
      </x:c>
      <x:c r="E9" s="18" t="str">
        <x:v>Use long-handled tools or a stable platform.</x:v>
      </x:c>
      <x:c r="F9" s="15" t="str">
        <x:v>direct</x:v>
      </x:c>
      <x:c r="G9" s="15" t="str">
        <x:v>pass</x:v>
      </x:c>
      <x:c r="H9" s="15" t="str">
        <x:v>not_applicable</x:v>
      </x:c>
      <x:c r="I9" s="15" t="str">
        <x:v>pending_human_review</x:v>
      </x:c>
      <x:c r="J9" s="15" t="str">
        <x:v>pending_human_review</x:v>
      </x:c>
      <x:c r="K9" s="15" t="str">
        <x:v>pending_human_review</x:v>
      </x:c>
      <x:c r="L9" s="15" t="str">
        <x:v>pending_human_review</x:v>
      </x:c>
      <x:c r="M9" s="18" t="str"/>
      <x:c r="N9" s="15" t="str">
        <x:v>pending</x:v>
      </x:c>
      <x:c r="O9" s="15" t="str"/>
      <x:c r="P9" s="15" t="str"/>
      <x:c r="Q9" s="15" t="str">
        <x:v>1</x:v>
      </x:c>
      <x:c r="R9" s="15" t="str">
        <x:v>body_map_recommendations</x:v>
      </x:c>
      <x:c r="S9" s="15" t="str">
        <x:v>4</x:v>
      </x:c>
    </x:row>
    <x:row r="10" ht="48" customHeight="1">
      <x:c r="A10" s="15" t="str">
        <x:v>act_body_arms_medium.01</x:v>
      </x:c>
      <x:c r="B10" s="15" t="str">
        <x:v>act_body_arms_medium</x:v>
      </x:c>
      <x:c r="C10" s="15" t="str">
        <x:v>recommendation</x:v>
      </x:c>
      <x:c r="D10" s="18" t="str">
        <x:v>จัดวัสดุให้อยู่ในระยะเอื้อมไม่เกิน 40 ซม.</x:v>
      </x:c>
      <x:c r="E10" s="18" t="str">
        <x:v>Keep materials within 40 cm of the body.</x:v>
      </x:c>
      <x:c r="F10" s="15" t="str">
        <x:v>direct</x:v>
      </x:c>
      <x:c r="G10" s="15" t="str">
        <x:v>pass</x:v>
      </x:c>
      <x:c r="H10" s="15" t="str">
        <x:v>pass</x:v>
      </x:c>
      <x:c r="I10" s="15" t="str">
        <x:v>pending_human_review</x:v>
      </x:c>
      <x:c r="J10" s="15" t="str">
        <x:v>pending_human_review</x:v>
      </x:c>
      <x:c r="K10" s="15" t="str">
        <x:v>pending_human_review</x:v>
      </x:c>
      <x:c r="L10" s="15" t="str">
        <x:v>pending_human_review</x:v>
      </x:c>
      <x:c r="M10" s="18" t="str"/>
      <x:c r="N10" s="15" t="str">
        <x:v>pending</x:v>
      </x:c>
      <x:c r="O10" s="15" t="str"/>
      <x:c r="P10" s="15" t="str"/>
      <x:c r="Q10" s="15" t="str">
        <x:v>1</x:v>
      </x:c>
      <x:c r="R10" s="15" t="str">
        <x:v>body_map_recommendations</x:v>
      </x:c>
      <x:c r="S10" s="15" t="str">
        <x:v>4</x:v>
      </x:c>
    </x:row>
    <x:row r="11" ht="48" customHeight="1">
      <x:c r="A11" s="15" t="str">
        <x:v>act_body_arms_medium.02</x:v>
      </x:c>
      <x:c r="B11" s="15" t="str">
        <x:v>act_body_arms_medium</x:v>
      </x:c>
      <x:c r="C11" s="15" t="str">
        <x:v>recommendation</x:v>
      </x:c>
      <x:c r="D11" s="18" t="str">
        <x:v>วางอุปกรณ์เมื่อไม่ใช้</x:v>
      </x:c>
      <x:c r="E11" s="18" t="str">
        <x:v>Put tools down when they are not in use.</x:v>
      </x:c>
      <x:c r="F11" s="15" t="str">
        <x:v>direct</x:v>
      </x:c>
      <x:c r="G11" s="15" t="str">
        <x:v>pass</x:v>
      </x:c>
      <x:c r="H11" s="15" t="str">
        <x:v>not_applicable</x:v>
      </x:c>
      <x:c r="I11" s="15" t="str">
        <x:v>pending_human_review</x:v>
      </x:c>
      <x:c r="J11" s="15" t="str">
        <x:v>pending_human_review</x:v>
      </x:c>
      <x:c r="K11" s="15" t="str">
        <x:v>pending_human_review</x:v>
      </x:c>
      <x:c r="L11" s="15" t="str">
        <x:v>pending_human_review</x:v>
      </x:c>
      <x:c r="M11" s="18" t="str"/>
      <x:c r="N11" s="15" t="str">
        <x:v>pending</x:v>
      </x:c>
      <x:c r="O11" s="15" t="str"/>
      <x:c r="P11" s="15" t="str"/>
      <x:c r="Q11" s="15" t="str">
        <x:v>1</x:v>
      </x:c>
      <x:c r="R11" s="15" t="str">
        <x:v>body_map_recommendations</x:v>
      </x:c>
      <x:c r="S11" s="15" t="str">
        <x:v>4</x:v>
      </x:c>
    </x:row>
    <x:row r="12" ht="48" customHeight="1">
      <x:c r="A12" s="15" t="str">
        <x:v>act_body_arms_medium.03</x:v>
      </x:c>
      <x:c r="B12" s="15" t="str">
        <x:v>act_body_arms_medium</x:v>
      </x:c>
      <x:c r="C12" s="15" t="str">
        <x:v>recommendation</x:v>
      </x:c>
      <x:c r="D12" s="18" t="str">
        <x:v>พักไหล่ทุก 30 นาที และให้งานอยู่ต่ำกว่าระดับไหล่</x:v>
      </x:c>
      <x:c r="E12" s="18" t="str">
        <x:v>Rest the shoulders every 30 minutes and keep the work below shoulder height.</x:v>
      </x:c>
      <x:c r="F12" s="15" t="str">
        <x:v>direct</x:v>
      </x:c>
      <x:c r="G12" s="15" t="str">
        <x:v>pass</x:v>
      </x:c>
      <x:c r="H12" s="15" t="str">
        <x:v>pass</x:v>
      </x:c>
      <x:c r="I12" s="15" t="str">
        <x:v>pending_human_review</x:v>
      </x:c>
      <x:c r="J12" s="15" t="str">
        <x:v>pending_human_review</x:v>
      </x:c>
      <x:c r="K12" s="15" t="str">
        <x:v>pending_human_review</x:v>
      </x:c>
      <x:c r="L12" s="15" t="str">
        <x:v>pending_human_review</x:v>
      </x:c>
      <x:c r="M12" s="18" t="str"/>
      <x:c r="N12" s="15" t="str">
        <x:v>pending</x:v>
      </x:c>
      <x:c r="O12" s="15" t="str"/>
      <x:c r="P12" s="15" t="str"/>
      <x:c r="Q12" s="15" t="str">
        <x:v>1</x:v>
      </x:c>
      <x:c r="R12" s="15" t="str">
        <x:v>body_map_recommendations</x:v>
      </x:c>
      <x:c r="S12" s="15" t="str">
        <x:v>4</x:v>
      </x:c>
    </x:row>
    <x:row r="13" ht="48" customHeight="1">
      <x:c r="A13" s="15" t="str">
        <x:v>act_body_arms_very_high.01</x:v>
      </x:c>
      <x:c r="B13" s="15" t="str">
        <x:v>act_body_arms_very_high</x:v>
      </x:c>
      <x:c r="C13" s="15" t="str">
        <x:v>recommendation</x:v>
      </x:c>
      <x:c r="D13" s="18" t="str">
        <x:v>จำกัดงานเหนือศีรษะเป็นรอบสั้น</x:v>
      </x:c>
      <x:c r="E13" s="18" t="str">
        <x:v>Limit overhead work to short rounds.</x:v>
      </x:c>
      <x:c r="F13" s="15" t="str">
        <x:v>direct</x:v>
      </x:c>
      <x:c r="G13" s="15" t="str">
        <x:v>pass</x:v>
      </x:c>
      <x:c r="H13" s="15" t="str">
        <x:v>not_applicable</x:v>
      </x:c>
      <x:c r="I13" s="15" t="str">
        <x:v>pending_human_review</x:v>
      </x:c>
      <x:c r="J13" s="15" t="str">
        <x:v>pending_human_review</x:v>
      </x:c>
      <x:c r="K13" s="15" t="str">
        <x:v>pending_human_review</x:v>
      </x:c>
      <x:c r="L13" s="15" t="str">
        <x:v>pending_human_review</x:v>
      </x:c>
      <x:c r="M13" s="18" t="str"/>
      <x:c r="N13" s="15" t="str">
        <x:v>pending</x:v>
      </x:c>
      <x:c r="O13" s="15" t="str"/>
      <x:c r="P13" s="15" t="str"/>
      <x:c r="Q13" s="15" t="str">
        <x:v>1</x:v>
      </x:c>
      <x:c r="R13" s="15" t="str">
        <x:v>body_map_recommendations</x:v>
      </x:c>
      <x:c r="S13" s="15" t="str">
        <x:v>4-5</x:v>
      </x:c>
    </x:row>
    <x:row r="14" ht="48" customHeight="1">
      <x:c r="A14" s="15" t="str">
        <x:v>act_body_arms_very_high.02</x:v>
      </x:c>
      <x:c r="B14" s="15" t="str">
        <x:v>act_body_arms_very_high</x:v>
      </x:c>
      <x:c r="C14" s="15" t="str">
        <x:v>recommendation</x:v>
      </x:c>
      <x:c r="D14" s="18" t="str">
        <x:v>ใช้เครื่องมือด้ามยาวที่น้ำหนักเบา</x:v>
      </x:c>
      <x:c r="E14" s="18" t="str">
        <x:v>Use lighter long-handled tools.</x:v>
      </x:c>
      <x:c r="F14" s="15" t="str">
        <x:v>direct</x:v>
      </x:c>
      <x:c r="G14" s="15" t="str">
        <x:v>pass</x:v>
      </x:c>
      <x:c r="H14" s="15" t="str">
        <x:v>not_applicable</x:v>
      </x:c>
      <x:c r="I14" s="15" t="str">
        <x:v>pending_human_review</x:v>
      </x:c>
      <x:c r="J14" s="15" t="str">
        <x:v>pending_human_review</x:v>
      </x:c>
      <x:c r="K14" s="15" t="str">
        <x:v>pending_human_review</x:v>
      </x:c>
      <x:c r="L14" s="15" t="str">
        <x:v>pending_human_review</x:v>
      </x:c>
      <x:c r="M14" s="18" t="str"/>
      <x:c r="N14" s="15" t="str">
        <x:v>pending</x:v>
      </x:c>
      <x:c r="O14" s="15" t="str"/>
      <x:c r="P14" s="15" t="str"/>
      <x:c r="Q14" s="15" t="str">
        <x:v>1</x:v>
      </x:c>
      <x:c r="R14" s="15" t="str">
        <x:v>body_map_recommendations</x:v>
      </x:c>
      <x:c r="S14" s="15" t="str">
        <x:v>4-5</x:v>
      </x:c>
    </x:row>
    <x:row r="15" ht="48" customHeight="1">
      <x:c r="A15" s="15" t="str">
        <x:v>act_body_arms_very_high.03</x:v>
      </x:c>
      <x:c r="B15" s="15" t="str">
        <x:v>act_body_arms_very_high</x:v>
      </x:c>
      <x:c r="C15" s="15" t="str">
        <x:v>recommendation</x:v>
      </x:c>
      <x:c r="D15" s="18" t="str">
        <x:v>สลับไปทำงานที่ใช้แขนต่ำกว่าระดับไหล่</x:v>
      </x:c>
      <x:c r="E15" s="18" t="str">
        <x:v>Rotate to work below shoulder level.</x:v>
      </x:c>
      <x:c r="F15" s="15" t="str">
        <x:v>direct</x:v>
      </x:c>
      <x:c r="G15" s="15" t="str">
        <x:v>pass</x:v>
      </x:c>
      <x:c r="H15" s="15" t="str">
        <x:v>not_applicable</x:v>
      </x:c>
      <x:c r="I15" s="15" t="str">
        <x:v>pending_human_review</x:v>
      </x:c>
      <x:c r="J15" s="15" t="str">
        <x:v>pending_human_review</x:v>
      </x:c>
      <x:c r="K15" s="15" t="str">
        <x:v>pending_human_review</x:v>
      </x:c>
      <x:c r="L15" s="15" t="str">
        <x:v>pending_human_review</x:v>
      </x:c>
      <x:c r="M15" s="18" t="str"/>
      <x:c r="N15" s="15" t="str">
        <x:v>pending</x:v>
      </x:c>
      <x:c r="O15" s="15" t="str"/>
      <x:c r="P15" s="15" t="str"/>
      <x:c r="Q15" s="15" t="str">
        <x:v>1</x:v>
      </x:c>
      <x:c r="R15" s="15" t="str">
        <x:v>body_map_recommendations</x:v>
      </x:c>
      <x:c r="S15" s="15" t="str">
        <x:v>4-5</x:v>
      </x:c>
    </x:row>
    <x:row r="16" ht="48" customHeight="1">
      <x:c r="A16" s="15" t="str">
        <x:v>act_body_legs_high.01</x:v>
      </x:c>
      <x:c r="B16" s="15" t="str">
        <x:v>act_body_legs_high</x:v>
      </x:c>
      <x:c r="C16" s="15" t="str">
        <x:v>recommendation</x:v>
      </x:c>
      <x:c r="D16" s="18" t="str">
        <x:v>ไม่นั่งยองหรือคุกเข่าต่อเนื่องเกิน 15 นาที</x:v>
      </x:c>
      <x:c r="E16" s="18" t="str">
        <x:v>Do not squat or kneel continuously for more than 15 minutes.</x:v>
      </x:c>
      <x:c r="F16" s="15" t="str">
        <x:v>direct</x:v>
      </x:c>
      <x:c r="G16" s="15" t="str">
        <x:v>pass</x:v>
      </x:c>
      <x:c r="H16" s="15" t="str">
        <x:v>pass</x:v>
      </x:c>
      <x:c r="I16" s="15" t="str">
        <x:v>pending_human_review</x:v>
      </x:c>
      <x:c r="J16" s="15" t="str">
        <x:v>pending_human_review</x:v>
      </x:c>
      <x:c r="K16" s="15" t="str">
        <x:v>pending_human_review</x:v>
      </x:c>
      <x:c r="L16" s="15" t="str">
        <x:v>pending_human_review</x:v>
      </x:c>
      <x:c r="M16" s="18" t="str"/>
      <x:c r="N16" s="15" t="str">
        <x:v>pending</x:v>
      </x:c>
      <x:c r="O16" s="15" t="str"/>
      <x:c r="P16" s="15" t="str"/>
      <x:c r="Q16" s="15" t="str">
        <x:v>1</x:v>
      </x:c>
      <x:c r="R16" s="15" t="str">
        <x:v>body_map_recommendations</x:v>
      </x:c>
      <x:c r="S16" s="15" t="str">
        <x:v>6-7</x:v>
      </x:c>
    </x:row>
    <x:row r="17" ht="48" customHeight="1">
      <x:c r="A17" s="15" t="str">
        <x:v>act_body_legs_high.02</x:v>
      </x:c>
      <x:c r="B17" s="15" t="str">
        <x:v>act_body_legs_high</x:v>
      </x:c>
      <x:c r="C17" s="15" t="str">
        <x:v>recommendation</x:v>
      </x:c>
      <x:c r="D17" s="18" t="str">
        <x:v>ลุกเดิน 3-5 นาทีทุก 15 นาที</x:v>
      </x:c>
      <x:c r="E17" s="18" t="str">
        <x:v>Walk 3-5 minutes every 15 minutes.</x:v>
      </x:c>
      <x:c r="F17" s="15" t="str">
        <x:v>direct</x:v>
      </x:c>
      <x:c r="G17" s="15" t="str">
        <x:v>pass</x:v>
      </x:c>
      <x:c r="H17" s="15" t="str">
        <x:v>pass</x:v>
      </x:c>
      <x:c r="I17" s="15" t="str">
        <x:v>pending_human_review</x:v>
      </x:c>
      <x:c r="J17" s="15" t="str">
        <x:v>pending_human_review</x:v>
      </x:c>
      <x:c r="K17" s="15" t="str">
        <x:v>pending_human_review</x:v>
      </x:c>
      <x:c r="L17" s="15" t="str">
        <x:v>pending_human_review</x:v>
      </x:c>
      <x:c r="M17" s="18" t="str"/>
      <x:c r="N17" s="15" t="str">
        <x:v>pending</x:v>
      </x:c>
      <x:c r="O17" s="15" t="str"/>
      <x:c r="P17" s="15" t="str"/>
      <x:c r="Q17" s="15" t="str">
        <x:v>1</x:v>
      </x:c>
      <x:c r="R17" s="15" t="str">
        <x:v>body_map_recommendations</x:v>
      </x:c>
      <x:c r="S17" s="15" t="str">
        <x:v>6-7</x:v>
      </x:c>
    </x:row>
    <x:row r="18" ht="48" customHeight="1">
      <x:c r="A18" s="15" t="str">
        <x:v>act_body_legs_high.03</x:v>
      </x:c>
      <x:c r="B18" s="15" t="str">
        <x:v>act_body_legs_high</x:v>
      </x:c>
      <x:c r="C18" s="15" t="str">
        <x:v>recommendation</x:v>
      </x:c>
      <x:c r="D18" s="18" t="str">
        <x:v>ใช้เก้าอี้เตี้ยหรือแผ่นรองเข่า</x:v>
      </x:c>
      <x:c r="E18" s="18" t="str">
        <x:v>Use a low stool or knee pad.</x:v>
      </x:c>
      <x:c r="F18" s="15" t="str">
        <x:v>direct</x:v>
      </x:c>
      <x:c r="G18" s="15" t="str">
        <x:v>pass</x:v>
      </x:c>
      <x:c r="H18" s="15" t="str">
        <x:v>not_applicable</x:v>
      </x:c>
      <x:c r="I18" s="15" t="str">
        <x:v>pending_human_review</x:v>
      </x:c>
      <x:c r="J18" s="15" t="str">
        <x:v>pending_human_review</x:v>
      </x:c>
      <x:c r="K18" s="15" t="str">
        <x:v>pending_human_review</x:v>
      </x:c>
      <x:c r="L18" s="15" t="str">
        <x:v>pending_human_review</x:v>
      </x:c>
      <x:c r="M18" s="18" t="str"/>
      <x:c r="N18" s="15" t="str">
        <x:v>pending</x:v>
      </x:c>
      <x:c r="O18" s="15" t="str"/>
      <x:c r="P18" s="15" t="str"/>
      <x:c r="Q18" s="15" t="str">
        <x:v>1</x:v>
      </x:c>
      <x:c r="R18" s="15" t="str">
        <x:v>body_map_recommendations</x:v>
      </x:c>
      <x:c r="S18" s="15" t="str">
        <x:v>6-7</x:v>
      </x:c>
    </x:row>
    <x:row r="19" ht="48" customHeight="1">
      <x:c r="A19" s="15" t="str">
        <x:v>act_body_legs_medium.01</x:v>
      </x:c>
      <x:c r="B19" s="15" t="str">
        <x:v>act_body_legs_medium</x:v>
      </x:c>
      <x:c r="C19" s="15" t="str">
        <x:v>recommendation</x:v>
      </x:c>
      <x:c r="D19" s="18" t="str">
        <x:v>ลุกยืนหรือเดินทุก 20 นาที</x:v>
      </x:c>
      <x:c r="E19" s="18" t="str">
        <x:v>Stand up or walk every 20 minutes.</x:v>
      </x:c>
      <x:c r="F19" s="15" t="str">
        <x:v>direct</x:v>
      </x:c>
      <x:c r="G19" s="15" t="str">
        <x:v>pass</x:v>
      </x:c>
      <x:c r="H19" s="15" t="str">
        <x:v>pass</x:v>
      </x:c>
      <x:c r="I19" s="15" t="str">
        <x:v>pending_human_review</x:v>
      </x:c>
      <x:c r="J19" s="15" t="str">
        <x:v>pending_human_review</x:v>
      </x:c>
      <x:c r="K19" s="15" t="str">
        <x:v>pending_human_review</x:v>
      </x:c>
      <x:c r="L19" s="15" t="str">
        <x:v>pending_human_review</x:v>
      </x:c>
      <x:c r="M19" s="18" t="str"/>
      <x:c r="N19" s="15" t="str">
        <x:v>pending</x:v>
      </x:c>
      <x:c r="O19" s="15" t="str"/>
      <x:c r="P19" s="15" t="str"/>
      <x:c r="Q19" s="15" t="str">
        <x:v>1</x:v>
      </x:c>
      <x:c r="R19" s="15" t="str">
        <x:v>body_map_recommendations</x:v>
      </x:c>
      <x:c r="S19" s="15" t="str">
        <x:v>6</x:v>
      </x:c>
    </x:row>
    <x:row r="20" ht="48" customHeight="1">
      <x:c r="A20" s="15" t="str">
        <x:v>act_body_legs_medium.02</x:v>
      </x:c>
      <x:c r="B20" s="15" t="str">
        <x:v>act_body_legs_medium</x:v>
      </x:c>
      <x:c r="C20" s="15" t="str">
        <x:v>recommendation</x:v>
      </x:c>
      <x:c r="D20" s="18" t="str">
        <x:v>ใช้เบาะรองนั่งหรือแผ่นรองเข่า</x:v>
      </x:c>
      <x:c r="E20" s="18" t="str">
        <x:v>Use a squatting cushion or knee pad.</x:v>
      </x:c>
      <x:c r="F20" s="15" t="str">
        <x:v>direct</x:v>
      </x:c>
      <x:c r="G20" s="15" t="str">
        <x:v>pass</x:v>
      </x:c>
      <x:c r="H20" s="15" t="str">
        <x:v>not_applicable</x:v>
      </x:c>
      <x:c r="I20" s="15" t="str">
        <x:v>pending_human_review</x:v>
      </x:c>
      <x:c r="J20" s="15" t="str">
        <x:v>pending_human_review</x:v>
      </x:c>
      <x:c r="K20" s="15" t="str">
        <x:v>pending_human_review</x:v>
      </x:c>
      <x:c r="L20" s="15" t="str">
        <x:v>pending_human_review</x:v>
      </x:c>
      <x:c r="M20" s="18" t="str"/>
      <x:c r="N20" s="15" t="str">
        <x:v>pending</x:v>
      </x:c>
      <x:c r="O20" s="15" t="str"/>
      <x:c r="P20" s="15" t="str"/>
      <x:c r="Q20" s="15" t="str">
        <x:v>1</x:v>
      </x:c>
      <x:c r="R20" s="15" t="str">
        <x:v>body_map_recommendations</x:v>
      </x:c>
      <x:c r="S20" s="15" t="str">
        <x:v>6</x:v>
      </x:c>
    </x:row>
    <x:row r="21" ht="48" customHeight="1">
      <x:c r="A21" s="15" t="str">
        <x:v>act_body_legs_medium.03</x:v>
      </x:c>
      <x:c r="B21" s="15" t="str">
        <x:v>act_body_legs_medium</x:v>
      </x:c>
      <x:c r="C21" s="15" t="str">
        <x:v>recommendation</x:v>
      </x:c>
      <x:c r="D21" s="18" t="str">
        <x:v>สลับระหว่างนั่ง ยืน และเดิน</x:v>
      </x:c>
      <x:c r="E21" s="18" t="str">
        <x:v>Alternate between sitting, standing, and walking.</x:v>
      </x:c>
      <x:c r="F21" s="15" t="str">
        <x:v>direct</x:v>
      </x:c>
      <x:c r="G21" s="15" t="str">
        <x:v>pass</x:v>
      </x:c>
      <x:c r="H21" s="15" t="str">
        <x:v>not_applicable</x:v>
      </x:c>
      <x:c r="I21" s="15" t="str">
        <x:v>pending_human_review</x:v>
      </x:c>
      <x:c r="J21" s="15" t="str">
        <x:v>pending_human_review</x:v>
      </x:c>
      <x:c r="K21" s="15" t="str">
        <x:v>pending_human_review</x:v>
      </x:c>
      <x:c r="L21" s="15" t="str">
        <x:v>pending_human_review</x:v>
      </x:c>
      <x:c r="M21" s="18" t="str"/>
      <x:c r="N21" s="15" t="str">
        <x:v>pending</x:v>
      </x:c>
      <x:c r="O21" s="15" t="str"/>
      <x:c r="P21" s="15" t="str"/>
      <x:c r="Q21" s="15" t="str">
        <x:v>1</x:v>
      </x:c>
      <x:c r="R21" s="15" t="str">
        <x:v>body_map_recommendations</x:v>
      </x:c>
      <x:c r="S21" s="15" t="str">
        <x:v>6</x:v>
      </x:c>
    </x:row>
    <x:row r="22" ht="48" customHeight="1">
      <x:c r="A22" s="15" t="str">
        <x:v>act_body_legs_very_high.01</x:v>
      </x:c>
      <x:c r="B22" s="15" t="str">
        <x:v>act_body_legs_very_high</x:v>
      </x:c>
      <x:c r="C22" s="15" t="str">
        <x:v>recommendation</x:v>
      </x:c>
      <x:c r="D22" s="18" t="str">
        <x:v>หลีกเลี่ยงการนั่งยองหรือคุกเข่าเกิน 10 นาที</x:v>
      </x:c>
      <x:c r="E22" s="18" t="str">
        <x:v>Avoid squatting or kneeling for more than 10 minutes.</x:v>
      </x:c>
      <x:c r="F22" s="15" t="str">
        <x:v>direct</x:v>
      </x:c>
      <x:c r="G22" s="15" t="str">
        <x:v>pass</x:v>
      </x:c>
      <x:c r="H22" s="15" t="str">
        <x:v>pass</x:v>
      </x:c>
      <x:c r="I22" s="15" t="str">
        <x:v>pending_human_review</x:v>
      </x:c>
      <x:c r="J22" s="15" t="str">
        <x:v>pending_human_review</x:v>
      </x:c>
      <x:c r="K22" s="15" t="str">
        <x:v>pending_human_review</x:v>
      </x:c>
      <x:c r="L22" s="15" t="str">
        <x:v>pending_human_review</x:v>
      </x:c>
      <x:c r="M22" s="18" t="str"/>
      <x:c r="N22" s="15" t="str">
        <x:v>pending</x:v>
      </x:c>
      <x:c r="O22" s="15" t="str"/>
      <x:c r="P22" s="15" t="str"/>
      <x:c r="Q22" s="15" t="str">
        <x:v>1</x:v>
      </x:c>
      <x:c r="R22" s="15" t="str">
        <x:v>body_map_recommendations</x:v>
      </x:c>
      <x:c r="S22" s="15" t="str">
        <x:v>7</x:v>
      </x:c>
    </x:row>
    <x:row r="23" ht="48" customHeight="1">
      <x:c r="A23" s="15" t="str">
        <x:v>act_body_legs_very_high.02</x:v>
      </x:c>
      <x:c r="B23" s="15" t="str">
        <x:v>act_body_legs_very_high</x:v>
      </x:c>
      <x:c r="C23" s="15" t="str">
        <x:v>recommendation</x:v>
      </x:c>
      <x:c r="D23" s="18" t="str">
        <x:v>พักทุก 10-15 นาที</x:v>
      </x:c>
      <x:c r="E23" s="18" t="str">
        <x:v>Rest every 10-15 minutes.</x:v>
      </x:c>
      <x:c r="F23" s="15" t="str">
        <x:v>direct</x:v>
      </x:c>
      <x:c r="G23" s="15" t="str">
        <x:v>pass</x:v>
      </x:c>
      <x:c r="H23" s="15" t="str">
        <x:v>pass</x:v>
      </x:c>
      <x:c r="I23" s="15" t="str">
        <x:v>pending_human_review</x:v>
      </x:c>
      <x:c r="J23" s="15" t="str">
        <x:v>pending_human_review</x:v>
      </x:c>
      <x:c r="K23" s="15" t="str">
        <x:v>pending_human_review</x:v>
      </x:c>
      <x:c r="L23" s="15" t="str">
        <x:v>pending_human_review</x:v>
      </x:c>
      <x:c r="M23" s="18" t="str"/>
      <x:c r="N23" s="15" t="str">
        <x:v>pending</x:v>
      </x:c>
      <x:c r="O23" s="15" t="str"/>
      <x:c r="P23" s="15" t="str"/>
      <x:c r="Q23" s="15" t="str">
        <x:v>1</x:v>
      </x:c>
      <x:c r="R23" s="15" t="str">
        <x:v>body_map_recommendations</x:v>
      </x:c>
      <x:c r="S23" s="15" t="str">
        <x:v>7</x:v>
      </x:c>
    </x:row>
    <x:row r="24" ht="48" customHeight="1">
      <x:c r="A24" s="15" t="str">
        <x:v>act_body_legs_very_high.03</x:v>
      </x:c>
      <x:c r="B24" s="15" t="str">
        <x:v>act_body_legs_very_high</x:v>
      </x:c>
      <x:c r="C24" s="15" t="str">
        <x:v>recommendation</x:v>
      </x:c>
      <x:c r="D24" s="18" t="str">
        <x:v>ใช้อุปกรณ์ช่วยทำงานระดับพื้น</x:v>
      </x:c>
      <x:c r="E24" s="18" t="str">
        <x:v>Use floor-work aids.</x:v>
      </x:c>
      <x:c r="F24" s="15" t="str">
        <x:v>direct</x:v>
      </x:c>
      <x:c r="G24" s="15" t="str">
        <x:v>pass</x:v>
      </x:c>
      <x:c r="H24" s="15" t="str">
        <x:v>not_applicable</x:v>
      </x:c>
      <x:c r="I24" s="15" t="str">
        <x:v>pending_human_review</x:v>
      </x:c>
      <x:c r="J24" s="15" t="str">
        <x:v>pending_human_review</x:v>
      </x:c>
      <x:c r="K24" s="15" t="str">
        <x:v>pending_human_review</x:v>
      </x:c>
      <x:c r="L24" s="15" t="str">
        <x:v>pending_human_review</x:v>
      </x:c>
      <x:c r="M24" s="18" t="str"/>
      <x:c r="N24" s="15" t="str">
        <x:v>pending</x:v>
      </x:c>
      <x:c r="O24" s="15" t="str"/>
      <x:c r="P24" s="15" t="str"/>
      <x:c r="Q24" s="15" t="str">
        <x:v>1</x:v>
      </x:c>
      <x:c r="R24" s="15" t="str">
        <x:v>body_map_recommendations</x:v>
      </x:c>
      <x:c r="S24" s="15" t="str">
        <x:v>7</x:v>
      </x:c>
    </x:row>
    <x:row r="25" ht="48" customHeight="1">
      <x:c r="A25" s="15" t="str">
        <x:v>act_body_legs_very_high.04</x:v>
      </x:c>
      <x:c r="B25" s="15" t="str">
        <x:v>act_body_legs_very_high</x:v>
      </x:c>
      <x:c r="C25" s="15" t="str">
        <x:v>recommendation</x:v>
      </x:c>
      <x:c r="D25" s="18" t="str">
        <x:v>ลดเวลาทำงานใกล้พื้น</x:v>
      </x:c>
      <x:c r="E25" s="18" t="str">
        <x:v>Reduce time working near the ground.</x:v>
      </x:c>
      <x:c r="F25" s="15" t="str">
        <x:v>direct</x:v>
      </x:c>
      <x:c r="G25" s="15" t="str">
        <x:v>pass</x:v>
      </x:c>
      <x:c r="H25" s="15" t="str">
        <x:v>not_applicable</x:v>
      </x:c>
      <x:c r="I25" s="15" t="str">
        <x:v>pending_human_review</x:v>
      </x:c>
      <x:c r="J25" s="15" t="str">
        <x:v>pending_human_review</x:v>
      </x:c>
      <x:c r="K25" s="15" t="str">
        <x:v>pending_human_review</x:v>
      </x:c>
      <x:c r="L25" s="15" t="str">
        <x:v>pending_human_review</x:v>
      </x:c>
      <x:c r="M25" s="18" t="str"/>
      <x:c r="N25" s="15" t="str">
        <x:v>pending</x:v>
      </x:c>
      <x:c r="O25" s="15" t="str"/>
      <x:c r="P25" s="15" t="str"/>
      <x:c r="Q25" s="15" t="str">
        <x:v>1</x:v>
      </x:c>
      <x:c r="R25" s="15" t="str">
        <x:v>body_map_recommendations</x:v>
      </x:c>
      <x:c r="S25" s="15" t="str">
        <x:v>7</x:v>
      </x:c>
    </x:row>
    <x:row r="26" ht="48" customHeight="1">
      <x:c r="A26" s="15" t="str">
        <x:v>act_body_manual_high.01</x:v>
      </x:c>
      <x:c r="B26" s="15" t="str">
        <x:v>act_body_manual_high</x:v>
      </x:c>
      <x:c r="C26" s="15" t="str">
        <x:v>recommendation</x:v>
      </x:c>
      <x:c r="D26" s="18" t="str">
        <x:v>แบ่งน้ำหนักต่อครั้งไม่เกิน 10 กก.</x:v>
      </x:c>
      <x:c r="E26" s="18" t="str">
        <x:v>Limit each load to no more than 10 kg.</x:v>
      </x:c>
      <x:c r="F26" s="15" t="str">
        <x:v>direct</x:v>
      </x:c>
      <x:c r="G26" s="15" t="str">
        <x:v>pass</x:v>
      </x:c>
      <x:c r="H26" s="15" t="str">
        <x:v>pass</x:v>
      </x:c>
      <x:c r="I26" s="15" t="str">
        <x:v>pending_human_review</x:v>
      </x:c>
      <x:c r="J26" s="15" t="str">
        <x:v>pending_human_review</x:v>
      </x:c>
      <x:c r="K26" s="15" t="str">
        <x:v>pending_human_review</x:v>
      </x:c>
      <x:c r="L26" s="15" t="str">
        <x:v>pending_human_review</x:v>
      </x:c>
      <x:c r="M26" s="18" t="str"/>
      <x:c r="N26" s="15" t="str">
        <x:v>pending</x:v>
      </x:c>
      <x:c r="O26" s="15" t="str"/>
      <x:c r="P26" s="15" t="str"/>
      <x:c r="Q26" s="15" t="str">
        <x:v>1</x:v>
      </x:c>
      <x:c r="R26" s="15" t="str">
        <x:v>body_map_recommendations</x:v>
      </x:c>
      <x:c r="S26" s="15" t="str">
        <x:v>7-8</x:v>
      </x:c>
    </x:row>
    <x:row r="27" ht="48" customHeight="1">
      <x:c r="A27" s="15" t="str">
        <x:v>act_body_manual_high.02</x:v>
      </x:c>
      <x:c r="B27" s="15" t="str">
        <x:v>act_body_manual_high</x:v>
      </x:c>
      <x:c r="C27" s="15" t="str">
        <x:v>recommendation</x:v>
      </x:c>
      <x:c r="D27" s="18" t="str">
        <x:v>ใช้รถเข็นเมื่อขนไกลกว่า 10 เมตร ให้ 2 คนช่วยยกเมื่อหนักเกิน 20 กก.</x:v>
      </x:c>
      <x:c r="E27" s="18" t="str">
        <x:v>Use a cart for distances over 10 m, and use 2-person lifting for loads over 20 kg.</x:v>
      </x:c>
      <x:c r="F27" s="15" t="str">
        <x:v>direct</x:v>
      </x:c>
      <x:c r="G27" s="15" t="str">
        <x:v>pass</x:v>
      </x:c>
      <x:c r="H27" s="15" t="str">
        <x:v>pass</x:v>
      </x:c>
      <x:c r="I27" s="15" t="str">
        <x:v>pending_human_review</x:v>
      </x:c>
      <x:c r="J27" s="15" t="str">
        <x:v>pending_human_review</x:v>
      </x:c>
      <x:c r="K27" s="15" t="str">
        <x:v>pending_human_review</x:v>
      </x:c>
      <x:c r="L27" s="15" t="str">
        <x:v>pending_human_review</x:v>
      </x:c>
      <x:c r="M27" s="18" t="str"/>
      <x:c r="N27" s="15" t="str">
        <x:v>pending</x:v>
      </x:c>
      <x:c r="O27" s="15" t="str"/>
      <x:c r="P27" s="15" t="str"/>
      <x:c r="Q27" s="15" t="str">
        <x:v>1</x:v>
      </x:c>
      <x:c r="R27" s="15" t="str">
        <x:v>body_map_recommendations</x:v>
      </x:c>
      <x:c r="S27" s="15" t="str">
        <x:v>7-8</x:v>
      </x:c>
    </x:row>
    <x:row r="28" ht="48" customHeight="1">
      <x:c r="A28" s="15" t="str">
        <x:v>act_body_manual_high.03</x:v>
      </x:c>
      <x:c r="B28" s="15" t="str">
        <x:v>act_body_manual_high</x:v>
      </x:c>
      <x:c r="C28" s="15" t="str">
        <x:v>recommendation</x:v>
      </x:c>
      <x:c r="D28" s="18" t="str">
        <x:v>หลีกเลี่ยงการบิดตัวขณะยก</x:v>
      </x:c>
      <x:c r="E28" s="18" t="str">
        <x:v>Avoid twisting while lifting.</x:v>
      </x:c>
      <x:c r="F28" s="15" t="str">
        <x:v>direct</x:v>
      </x:c>
      <x:c r="G28" s="15" t="str">
        <x:v>pass</x:v>
      </x:c>
      <x:c r="H28" s="15" t="str">
        <x:v>not_applicable</x:v>
      </x:c>
      <x:c r="I28" s="15" t="str">
        <x:v>pending_human_review</x:v>
      </x:c>
      <x:c r="J28" s="15" t="str">
        <x:v>pending_human_review</x:v>
      </x:c>
      <x:c r="K28" s="15" t="str">
        <x:v>pending_human_review</x:v>
      </x:c>
      <x:c r="L28" s="15" t="str">
        <x:v>pending_human_review</x:v>
      </x:c>
      <x:c r="M28" s="18" t="str"/>
      <x:c r="N28" s="15" t="str">
        <x:v>pending</x:v>
      </x:c>
      <x:c r="O28" s="15" t="str"/>
      <x:c r="P28" s="15" t="str"/>
      <x:c r="Q28" s="15" t="str">
        <x:v>1</x:v>
      </x:c>
      <x:c r="R28" s="15" t="str">
        <x:v>body_map_recommendations</x:v>
      </x:c>
      <x:c r="S28" s="15" t="str">
        <x:v>7-8</x:v>
      </x:c>
    </x:row>
    <x:row r="29" ht="48" customHeight="1">
      <x:c r="A29" s="15" t="str">
        <x:v>act_body_manual_medium.01</x:v>
      </x:c>
      <x:c r="B29" s="15" t="str">
        <x:v>act_body_manual_medium</x:v>
      </x:c>
      <x:c r="C29" s="15" t="str">
        <x:v>recommendation</x:v>
      </x:c>
      <x:c r="D29" s="18" t="str">
        <x:v>แบ่งถุงหรือภาชนะให้หนักไม่เกิน 15 กก.</x:v>
      </x:c>
      <x:c r="E29" s="18" t="str">
        <x:v>Divide materials into bags or containers weighing no more than 15 kg each.</x:v>
      </x:c>
      <x:c r="F29" s="15" t="str">
        <x:v>direct</x:v>
      </x:c>
      <x:c r="G29" s="15" t="str">
        <x:v>pass</x:v>
      </x:c>
      <x:c r="H29" s="15" t="str">
        <x:v>pass</x:v>
      </x:c>
      <x:c r="I29" s="15" t="str">
        <x:v>pending_human_review</x:v>
      </x:c>
      <x:c r="J29" s="15" t="str">
        <x:v>pending_human_review</x:v>
      </x:c>
      <x:c r="K29" s="15" t="str">
        <x:v>pending_human_review</x:v>
      </x:c>
      <x:c r="L29" s="15" t="str">
        <x:v>pending_human_review</x:v>
      </x:c>
      <x:c r="M29" s="18" t="str"/>
      <x:c r="N29" s="15" t="str">
        <x:v>pending</x:v>
      </x:c>
      <x:c r="O29" s="15" t="str"/>
      <x:c r="P29" s="15" t="str"/>
      <x:c r="Q29" s="15" t="str">
        <x:v>1</x:v>
      </x:c>
      <x:c r="R29" s="15" t="str">
        <x:v>body_map_recommendations</x:v>
      </x:c>
      <x:c r="S29" s="15" t="str">
        <x:v>7</x:v>
      </x:c>
    </x:row>
    <x:row r="30" ht="48" customHeight="1">
      <x:c r="A30" s="15" t="str">
        <x:v>act_body_manual_medium.02</x:v>
      </x:c>
      <x:c r="B30" s="15" t="str">
        <x:v>act_body_manual_medium</x:v>
      </x:c>
      <x:c r="C30" s="15" t="str">
        <x:v>recommendation</x:v>
      </x:c>
      <x:c r="D30" s="18" t="str">
        <x:v>ถือของให้ชิดลำตัว</x:v>
      </x:c>
      <x:c r="E30" s="18" t="str">
        <x:v>Keep the load close to the body.</x:v>
      </x:c>
      <x:c r="F30" s="15" t="str">
        <x:v>direct</x:v>
      </x:c>
      <x:c r="G30" s="15" t="str">
        <x:v>pass</x:v>
      </x:c>
      <x:c r="H30" s="15" t="str">
        <x:v>not_applicable</x:v>
      </x:c>
      <x:c r="I30" s="15" t="str">
        <x:v>pending_human_review</x:v>
      </x:c>
      <x:c r="J30" s="15" t="str">
        <x:v>pending_human_review</x:v>
      </x:c>
      <x:c r="K30" s="15" t="str">
        <x:v>pending_human_review</x:v>
      </x:c>
      <x:c r="L30" s="15" t="str">
        <x:v>pending_human_review</x:v>
      </x:c>
      <x:c r="M30" s="18" t="str"/>
      <x:c r="N30" s="15" t="str">
        <x:v>pending</x:v>
      </x:c>
      <x:c r="O30" s="15" t="str"/>
      <x:c r="P30" s="15" t="str"/>
      <x:c r="Q30" s="15" t="str">
        <x:v>1</x:v>
      </x:c>
      <x:c r="R30" s="15" t="str">
        <x:v>body_map_recommendations</x:v>
      </x:c>
      <x:c r="S30" s="15" t="str">
        <x:v>7</x:v>
      </x:c>
    </x:row>
    <x:row r="31" ht="48" customHeight="1">
      <x:c r="A31" s="15" t="str">
        <x:v>act_body_manual_medium.03</x:v>
      </x:c>
      <x:c r="B31" s="15" t="str">
        <x:v>act_body_manual_medium</x:v>
      </x:c>
      <x:c r="C31" s="15" t="str">
        <x:v>recommendation</x:v>
      </x:c>
      <x:c r="D31" s="18" t="str">
        <x:v>ใช้สองมือช่วยยก</x:v>
      </x:c>
      <x:c r="E31" s="18" t="str">
        <x:v>Lift with both hands.</x:v>
      </x:c>
      <x:c r="F31" s="15" t="str">
        <x:v>direct</x:v>
      </x:c>
      <x:c r="G31" s="15" t="str">
        <x:v>pass</x:v>
      </x:c>
      <x:c r="H31" s="15" t="str">
        <x:v>not_applicable</x:v>
      </x:c>
      <x:c r="I31" s="15" t="str">
        <x:v>pending_human_review</x:v>
      </x:c>
      <x:c r="J31" s="15" t="str">
        <x:v>pending_human_review</x:v>
      </x:c>
      <x:c r="K31" s="15" t="str">
        <x:v>pending_human_review</x:v>
      </x:c>
      <x:c r="L31" s="15" t="str">
        <x:v>pending_human_review</x:v>
      </x:c>
      <x:c r="M31" s="18" t="str"/>
      <x:c r="N31" s="15" t="str">
        <x:v>pending</x:v>
      </x:c>
      <x:c r="O31" s="15" t="str"/>
      <x:c r="P31" s="15" t="str"/>
      <x:c r="Q31" s="15" t="str">
        <x:v>1</x:v>
      </x:c>
      <x:c r="R31" s="15" t="str">
        <x:v>body_map_recommendations</x:v>
      </x:c>
      <x:c r="S31" s="15" t="str">
        <x:v>7</x:v>
      </x:c>
    </x:row>
    <x:row r="32" ht="48" customHeight="1">
      <x:c r="A32" s="15" t="str">
        <x:v>act_body_manual_medium.04</x:v>
      </x:c>
      <x:c r="B32" s="15" t="str">
        <x:v>act_body_manual_medium</x:v>
      </x:c>
      <x:c r="C32" s="15" t="str">
        <x:v>recommendation</x:v>
      </x:c>
      <x:c r="D32" s="18" t="str">
        <x:v>หลีกเลี่ยงการยกเหนือระดับไหล่</x:v>
      </x:c>
      <x:c r="E32" s="18" t="str">
        <x:v>Avoid lifting above shoulder height.</x:v>
      </x:c>
      <x:c r="F32" s="15" t="str">
        <x:v>direct</x:v>
      </x:c>
      <x:c r="G32" s="15" t="str">
        <x:v>pass</x:v>
      </x:c>
      <x:c r="H32" s="15" t="str">
        <x:v>not_applicable</x:v>
      </x:c>
      <x:c r="I32" s="15" t="str">
        <x:v>pending_human_review</x:v>
      </x:c>
      <x:c r="J32" s="15" t="str">
        <x:v>pending_human_review</x:v>
      </x:c>
      <x:c r="K32" s="15" t="str">
        <x:v>pending_human_review</x:v>
      </x:c>
      <x:c r="L32" s="15" t="str">
        <x:v>pending_human_review</x:v>
      </x:c>
      <x:c r="M32" s="18" t="str"/>
      <x:c r="N32" s="15" t="str">
        <x:v>pending</x:v>
      </x:c>
      <x:c r="O32" s="15" t="str"/>
      <x:c r="P32" s="15" t="str"/>
      <x:c r="Q32" s="15" t="str">
        <x:v>1</x:v>
      </x:c>
      <x:c r="R32" s="15" t="str">
        <x:v>body_map_recommendations</x:v>
      </x:c>
      <x:c r="S32" s="15" t="str">
        <x:v>7</x:v>
      </x:c>
    </x:row>
    <x:row r="33" ht="48" customHeight="1">
      <x:c r="A33" s="15" t="str">
        <x:v>act_body_manual_very_high.01</x:v>
      </x:c>
      <x:c r="B33" s="15" t="str">
        <x:v>act_body_manual_very_high</x:v>
      </x:c>
      <x:c r="C33" s="15" t="str">
        <x:v>recommendation</x:v>
      </x:c>
      <x:c r="D33" s="18" t="str">
        <x:v>ใช้รถเข็น รถลาก หรืออุปกรณ์ช่วยยก</x:v>
      </x:c>
      <x:c r="E33" s="18" t="str">
        <x:v>Use a cart, trolley, or lifting aid.</x:v>
      </x:c>
      <x:c r="F33" s="15" t="str">
        <x:v>direct</x:v>
      </x:c>
      <x:c r="G33" s="15" t="str">
        <x:v>pass</x:v>
      </x:c>
      <x:c r="H33" s="15" t="str">
        <x:v>not_applicable</x:v>
      </x:c>
      <x:c r="I33" s="15" t="str">
        <x:v>pending_human_review</x:v>
      </x:c>
      <x:c r="J33" s="15" t="str">
        <x:v>pending_human_review</x:v>
      </x:c>
      <x:c r="K33" s="15" t="str">
        <x:v>pending_human_review</x:v>
      </x:c>
      <x:c r="L33" s="15" t="str">
        <x:v>pending_human_review</x:v>
      </x:c>
      <x:c r="M33" s="18" t="str"/>
      <x:c r="N33" s="15" t="str">
        <x:v>pending</x:v>
      </x:c>
      <x:c r="O33" s="15" t="str"/>
      <x:c r="P33" s="15" t="str"/>
      <x:c r="Q33" s="15" t="str">
        <x:v>1</x:v>
      </x:c>
      <x:c r="R33" s="15" t="str">
        <x:v>body_map_recommendations</x:v>
      </x:c>
      <x:c r="S33" s="15" t="str">
        <x:v>8</x:v>
      </x:c>
    </x:row>
    <x:row r="34" ht="48" customHeight="1">
      <x:c r="A34" s="15" t="str">
        <x:v>act_body_manual_very_high.02</x:v>
      </x:c>
      <x:c r="B34" s="15" t="str">
        <x:v>act_body_manual_very_high</x:v>
      </x:c>
      <x:c r="C34" s="15" t="str">
        <x:v>recommendation</x:v>
      </x:c>
      <x:c r="D34" s="18" t="str">
        <x:v>หลีกเลี่ยงการยกเกิน 20 กก. คนเดียว</x:v>
      </x:c>
      <x:c r="E34" s="18" t="str">
        <x:v>Avoid lifting more than 20 kg alone.</x:v>
      </x:c>
      <x:c r="F34" s="15" t="str">
        <x:v>direct</x:v>
      </x:c>
      <x:c r="G34" s="15" t="str">
        <x:v>pass</x:v>
      </x:c>
      <x:c r="H34" s="15" t="str">
        <x:v>pass</x:v>
      </x:c>
      <x:c r="I34" s="15" t="str">
        <x:v>pending_human_review</x:v>
      </x:c>
      <x:c r="J34" s="15" t="str">
        <x:v>pending_human_review</x:v>
      </x:c>
      <x:c r="K34" s="15" t="str">
        <x:v>pending_human_review</x:v>
      </x:c>
      <x:c r="L34" s="15" t="str">
        <x:v>pending_human_review</x:v>
      </x:c>
      <x:c r="M34" s="18" t="str"/>
      <x:c r="N34" s="15" t="str">
        <x:v>pending</x:v>
      </x:c>
      <x:c r="O34" s="15" t="str"/>
      <x:c r="P34" s="15" t="str"/>
      <x:c r="Q34" s="15" t="str">
        <x:v>1</x:v>
      </x:c>
      <x:c r="R34" s="15" t="str">
        <x:v>body_map_recommendations</x:v>
      </x:c>
      <x:c r="S34" s="15" t="str">
        <x:v>8</x:v>
      </x:c>
    </x:row>
    <x:row r="35" ht="48" customHeight="1">
      <x:c r="A35" s="15" t="str">
        <x:v>act_body_manual_very_high.03</x:v>
      </x:c>
      <x:c r="B35" s="15" t="str">
        <x:v>act_body_manual_very_high</x:v>
      </x:c>
      <x:c r="C35" s="15" t="str">
        <x:v>recommendation</x:v>
      </x:c>
      <x:c r="D35" s="18" t="str">
        <x:v>ถ้าหนัก 20-25 กก. ให้ช่วยกันยก</x:v>
      </x:c>
      <x:c r="E35" s="18" t="str">
        <x:v>Use at least two people to lift loads of 20-25 kg.</x:v>
      </x:c>
      <x:c r="F35" s="15" t="str">
        <x:v>direct</x:v>
      </x:c>
      <x:c r="G35" s="15" t="str">
        <x:v>pass</x:v>
      </x:c>
      <x:c r="H35" s="15" t="str">
        <x:v>pass</x:v>
      </x:c>
      <x:c r="I35" s="15" t="str">
        <x:v>pending_human_review</x:v>
      </x:c>
      <x:c r="J35" s="15" t="str">
        <x:v>pending_human_review</x:v>
      </x:c>
      <x:c r="K35" s="15" t="str">
        <x:v>pending_human_review</x:v>
      </x:c>
      <x:c r="L35" s="15" t="str">
        <x:v>pending_human_review</x:v>
      </x:c>
      <x:c r="M35" s="18" t="str"/>
      <x:c r="N35" s="15" t="str">
        <x:v>pending</x:v>
      </x:c>
      <x:c r="O35" s="15" t="str"/>
      <x:c r="P35" s="15" t="str"/>
      <x:c r="Q35" s="15" t="str">
        <x:v>1</x:v>
      </x:c>
      <x:c r="R35" s="15" t="str">
        <x:v>body_map_recommendations</x:v>
      </x:c>
      <x:c r="S35" s="15" t="str">
        <x:v>8</x:v>
      </x:c>
    </x:row>
    <x:row r="36" ht="48" customHeight="1">
      <x:c r="A36" s="15" t="str">
        <x:v>act_body_manual_very_high.04</x:v>
      </x:c>
      <x:c r="B36" s="15" t="str">
        <x:v>act_body_manual_very_high</x:v>
      </x:c>
      <x:c r="C36" s="15" t="str">
        <x:v>recommendation</x:v>
      </x:c>
      <x:c r="D36" s="18" t="str">
        <x:v>ถ้าเกิน 25 กก. ให้ใช้อุปกรณ์ช่วย</x:v>
      </x:c>
      <x:c r="E36" s="18" t="str">
        <x:v>Use lifting equipment for loads over 25 kg.</x:v>
      </x:c>
      <x:c r="F36" s="15" t="str">
        <x:v>direct</x:v>
      </x:c>
      <x:c r="G36" s="15" t="str">
        <x:v>pass</x:v>
      </x:c>
      <x:c r="H36" s="15" t="str">
        <x:v>pass</x:v>
      </x:c>
      <x:c r="I36" s="15" t="str">
        <x:v>pending_human_review</x:v>
      </x:c>
      <x:c r="J36" s="15" t="str">
        <x:v>pending_human_review</x:v>
      </x:c>
      <x:c r="K36" s="15" t="str">
        <x:v>pending_human_review</x:v>
      </x:c>
      <x:c r="L36" s="15" t="str">
        <x:v>pending_human_review</x:v>
      </x:c>
      <x:c r="M36" s="18" t="str"/>
      <x:c r="N36" s="15" t="str">
        <x:v>pending</x:v>
      </x:c>
      <x:c r="O36" s="15" t="str"/>
      <x:c r="P36" s="15" t="str"/>
      <x:c r="Q36" s="15" t="str">
        <x:v>1</x:v>
      </x:c>
      <x:c r="R36" s="15" t="str">
        <x:v>body_map_recommendations</x:v>
      </x:c>
      <x:c r="S36" s="15" t="str">
        <x:v>8</x:v>
      </x:c>
    </x:row>
    <x:row r="37" ht="48" customHeight="1">
      <x:c r="A37" s="15" t="str">
        <x:v>act_body_neck_high.01</x:v>
      </x:c>
      <x:c r="B37" s="15" t="str">
        <x:v>act_body_neck_high</x:v>
      </x:c>
      <x:c r="C37" s="15" t="str">
        <x:v>recommendation</x:v>
      </x:c>
      <x:c r="D37" s="18" t="str">
        <x:v>ปรับพื้นที่ทำงานให้สูงขึ้น ยืดเหยียดคอทุก 15-20 นาที</x:v>
      </x:c>
      <x:c r="E37" s="18" t="str">
        <x:v>Raise the work area and stretch the neck every 15-20 minutes.</x:v>
      </x:c>
      <x:c r="F37" s="15" t="str">
        <x:v>direct</x:v>
      </x:c>
      <x:c r="G37" s="15" t="str">
        <x:v>pass</x:v>
      </x:c>
      <x:c r="H37" s="15" t="str">
        <x:v>pass</x:v>
      </x:c>
      <x:c r="I37" s="15" t="str">
        <x:v>pending_human_review</x:v>
      </x:c>
      <x:c r="J37" s="15" t="str">
        <x:v>pending_human_review</x:v>
      </x:c>
      <x:c r="K37" s="15" t="str">
        <x:v>pending_human_review</x:v>
      </x:c>
      <x:c r="L37" s="15" t="str">
        <x:v>pending_human_review</x:v>
      </x:c>
      <x:c r="M37" s="18" t="str"/>
      <x:c r="N37" s="15" t="str">
        <x:v>pending</x:v>
      </x:c>
      <x:c r="O37" s="15" t="str"/>
      <x:c r="P37" s="15" t="str"/>
      <x:c r="Q37" s="15" t="str">
        <x:v>1</x:v>
      </x:c>
      <x:c r="R37" s="15" t="str">
        <x:v>body_map_recommendations</x:v>
      </x:c>
      <x:c r="S37" s="15" t="str">
        <x:v>2</x:v>
      </x:c>
    </x:row>
    <x:row r="38" ht="48" customHeight="1">
      <x:c r="A38" s="15" t="str">
        <x:v>act_body_neck_high.02</x:v>
      </x:c>
      <x:c r="B38" s="15" t="str">
        <x:v>act_body_neck_high</x:v>
      </x:c>
      <x:c r="C38" s="15" t="str">
        <x:v>recommendation</x:v>
      </x:c>
      <x:c r="D38" s="18" t="str">
        <x:v>ใช้อุปกรณ์ช่วยหยิบจับ</x:v>
      </x:c>
      <x:c r="E38" s="18" t="str">
        <x:v>Use a reaching aid.</x:v>
      </x:c>
      <x:c r="F38" s="15" t="str">
        <x:v>direct</x:v>
      </x:c>
      <x:c r="G38" s="15" t="str">
        <x:v>pass</x:v>
      </x:c>
      <x:c r="H38" s="15" t="str">
        <x:v>not_applicable</x:v>
      </x:c>
      <x:c r="I38" s="15" t="str">
        <x:v>pending_human_review</x:v>
      </x:c>
      <x:c r="J38" s="15" t="str">
        <x:v>pending_human_review</x:v>
      </x:c>
      <x:c r="K38" s="15" t="str">
        <x:v>pending_human_review</x:v>
      </x:c>
      <x:c r="L38" s="15" t="str">
        <x:v>pending_human_review</x:v>
      </x:c>
      <x:c r="M38" s="18" t="str"/>
      <x:c r="N38" s="15" t="str">
        <x:v>pending</x:v>
      </x:c>
      <x:c r="O38" s="15" t="str"/>
      <x:c r="P38" s="15" t="str"/>
      <x:c r="Q38" s="15" t="str">
        <x:v>1</x:v>
      </x:c>
      <x:c r="R38" s="15" t="str">
        <x:v>body_map_recommendations</x:v>
      </x:c>
      <x:c r="S38" s="15" t="str">
        <x:v>2</x:v>
      </x:c>
    </x:row>
    <x:row r="39" ht="48" customHeight="1">
      <x:c r="A39" s="15" t="str">
        <x:v>act_body_neck_high.03</x:v>
      </x:c>
      <x:c r="B39" s="15" t="str">
        <x:v>act_body_neck_high</x:v>
      </x:c>
      <x:c r="C39" s="15" t="str">
        <x:v>recommendation</x:v>
      </x:c>
      <x:c r="D39" s="18" t="str">
        <x:v>หลีกเลี่ยงการบิดหรือเอียงคอ</x:v>
      </x:c>
      <x:c r="E39" s="18" t="str">
        <x:v>Avoid twisting or tilting the neck.</x:v>
      </x:c>
      <x:c r="F39" s="15" t="str">
        <x:v>direct</x:v>
      </x:c>
      <x:c r="G39" s="15" t="str">
        <x:v>pass</x:v>
      </x:c>
      <x:c r="H39" s="15" t="str">
        <x:v>not_applicable</x:v>
      </x:c>
      <x:c r="I39" s="15" t="str">
        <x:v>pending_human_review</x:v>
      </x:c>
      <x:c r="J39" s="15" t="str">
        <x:v>pending_human_review</x:v>
      </x:c>
      <x:c r="K39" s="15" t="str">
        <x:v>pending_human_review</x:v>
      </x:c>
      <x:c r="L39" s="15" t="str">
        <x:v>pending_human_review</x:v>
      </x:c>
      <x:c r="M39" s="18" t="str"/>
      <x:c r="N39" s="15" t="str">
        <x:v>pending</x:v>
      </x:c>
      <x:c r="O39" s="15" t="str"/>
      <x:c r="P39" s="15" t="str"/>
      <x:c r="Q39" s="15" t="str">
        <x:v>1</x:v>
      </x:c>
      <x:c r="R39" s="15" t="str">
        <x:v>body_map_recommendations</x:v>
      </x:c>
      <x:c r="S39" s="15" t="str">
        <x:v>2</x:v>
      </x:c>
    </x:row>
    <x:row r="40" ht="48" customHeight="1">
      <x:c r="A40" s="15" t="str">
        <x:v>act_body_neck_medium.01</x:v>
      </x:c>
      <x:c r="B40" s="15" t="str">
        <x:v>act_body_neck_medium</x:v>
      </x:c>
      <x:c r="C40" s="15" t="str">
        <x:v>recommendation</x:v>
      </x:c>
      <x:c r="D40" s="18" t="str">
        <x:v>ยกถาดหรือวัสดุให้อยู่ระดับเอว</x:v>
      </x:c>
      <x:c r="E40" s="18" t="str">
        <x:v>Raise trays or materials to waist height.</x:v>
      </x:c>
      <x:c r="F40" s="15" t="str">
        <x:v>direct</x:v>
      </x:c>
      <x:c r="G40" s="15" t="str">
        <x:v>pass</x:v>
      </x:c>
      <x:c r="H40" s="15" t="str">
        <x:v>not_applicable</x:v>
      </x:c>
      <x:c r="I40" s="15" t="str">
        <x:v>pending_human_review</x:v>
      </x:c>
      <x:c r="J40" s="15" t="str">
        <x:v>pending_human_review</x:v>
      </x:c>
      <x:c r="K40" s="15" t="str">
        <x:v>pending_human_review</x:v>
      </x:c>
      <x:c r="L40" s="15" t="str">
        <x:v>pending_human_review</x:v>
      </x:c>
      <x:c r="M40" s="18" t="str"/>
      <x:c r="N40" s="15" t="str">
        <x:v>pending</x:v>
      </x:c>
      <x:c r="O40" s="15" t="str"/>
      <x:c r="P40" s="15" t="str"/>
      <x:c r="Q40" s="15" t="str">
        <x:v>1</x:v>
      </x:c>
      <x:c r="R40" s="15" t="str">
        <x:v>body_map_recommendations</x:v>
      </x:c>
      <x:c r="S40" s="15" t="str">
        <x:v>1</x:v>
      </x:c>
    </x:row>
    <x:row r="41" ht="48" customHeight="1">
      <x:c r="A41" s="15" t="str">
        <x:v>act_body_neck_medium.02</x:v>
      </x:c>
      <x:c r="B41" s="15" t="str">
        <x:v>act_body_neck_medium</x:v>
      </x:c>
      <x:c r="C41" s="15" t="str">
        <x:v>recommendation</x:v>
      </x:c>
      <x:c r="D41" s="18" t="str">
        <x:v>เปลี่ยนท่าคอทุก 30 นาที</x:v>
      </x:c>
      <x:c r="E41" s="18" t="str">
        <x:v>Change neck posture every 30 minutes.</x:v>
      </x:c>
      <x:c r="F41" s="15" t="str">
        <x:v>direct</x:v>
      </x:c>
      <x:c r="G41" s="15" t="str">
        <x:v>pass</x:v>
      </x:c>
      <x:c r="H41" s="15" t="str">
        <x:v>pass</x:v>
      </x:c>
      <x:c r="I41" s="15" t="str">
        <x:v>pending_human_review</x:v>
      </x:c>
      <x:c r="J41" s="15" t="str">
        <x:v>pending_human_review</x:v>
      </x:c>
      <x:c r="K41" s="15" t="str">
        <x:v>pending_human_review</x:v>
      </x:c>
      <x:c r="L41" s="15" t="str">
        <x:v>pending_human_review</x:v>
      </x:c>
      <x:c r="M41" s="18" t="str"/>
      <x:c r="N41" s="15" t="str">
        <x:v>pending</x:v>
      </x:c>
      <x:c r="O41" s="15" t="str"/>
      <x:c r="P41" s="15" t="str"/>
      <x:c r="Q41" s="15" t="str">
        <x:v>1</x:v>
      </x:c>
      <x:c r="R41" s="15" t="str">
        <x:v>body_map_recommendations</x:v>
      </x:c>
      <x:c r="S41" s="15" t="str">
        <x:v>1</x:v>
      </x:c>
    </x:row>
    <x:row r="42" ht="48" customHeight="1">
      <x:c r="A42" s="15" t="str">
        <x:v>act_body_neck_medium.03</x:v>
      </x:c>
      <x:c r="B42" s="15" t="str">
        <x:v>act_body_neck_medium</x:v>
      </x:c>
      <x:c r="C42" s="15" t="str">
        <x:v>recommendation</x:v>
      </x:c>
      <x:c r="D42" s="18" t="str">
        <x:v>หลีกเลี่ยงการก้มมองพื้นต่อเนื่อง</x:v>
      </x:c>
      <x:c r="E42" s="18" t="str">
        <x:v>Avoid looking down continuously.</x:v>
      </x:c>
      <x:c r="F42" s="15" t="str">
        <x:v>direct</x:v>
      </x:c>
      <x:c r="G42" s="15" t="str">
        <x:v>pass</x:v>
      </x:c>
      <x:c r="H42" s="15" t="str">
        <x:v>not_applicable</x:v>
      </x:c>
      <x:c r="I42" s="15" t="str">
        <x:v>pending_human_review</x:v>
      </x:c>
      <x:c r="J42" s="15" t="str">
        <x:v>pending_human_review</x:v>
      </x:c>
      <x:c r="K42" s="15" t="str">
        <x:v>pending_human_review</x:v>
      </x:c>
      <x:c r="L42" s="15" t="str">
        <x:v>pending_human_review</x:v>
      </x:c>
      <x:c r="M42" s="18" t="str"/>
      <x:c r="N42" s="15" t="str">
        <x:v>pending</x:v>
      </x:c>
      <x:c r="O42" s="15" t="str"/>
      <x:c r="P42" s="15" t="str"/>
      <x:c r="Q42" s="15" t="str">
        <x:v>1</x:v>
      </x:c>
      <x:c r="R42" s="15" t="str">
        <x:v>body_map_recommendations</x:v>
      </x:c>
      <x:c r="S42" s="15" t="str">
        <x:v>1</x:v>
      </x:c>
    </x:row>
    <x:row r="43" ht="48" customHeight="1">
      <x:c r="A43" s="15" t="str">
        <x:v>act_body_neck_very_high.01</x:v>
      </x:c>
      <x:c r="B43" s="15" t="str">
        <x:v>act_body_neck_very_high</x:v>
      </x:c>
      <x:c r="C43" s="15" t="str">
        <x:v>recommendation</x:v>
      </x:c>
      <x:c r="D43" s="18" t="str">
        <x:v>ปรับวิธีทำงานทันที</x:v>
      </x:c>
      <x:c r="E43" s="18" t="str">
        <x:v>Change the work method immediately.</x:v>
      </x:c>
      <x:c r="F43" s="15" t="str">
        <x:v>direct</x:v>
      </x:c>
      <x:c r="G43" s="15" t="str">
        <x:v>pass</x:v>
      </x:c>
      <x:c r="H43" s="15" t="str">
        <x:v>not_applicable</x:v>
      </x:c>
      <x:c r="I43" s="15" t="str">
        <x:v>pending_human_review</x:v>
      </x:c>
      <x:c r="J43" s="15" t="str">
        <x:v>pending_human_review</x:v>
      </x:c>
      <x:c r="K43" s="15" t="str">
        <x:v>pending_human_review</x:v>
      </x:c>
      <x:c r="L43" s="15" t="str">
        <x:v>pending_human_review</x:v>
      </x:c>
      <x:c r="M43" s="18" t="str"/>
      <x:c r="N43" s="15" t="str">
        <x:v>pending</x:v>
      </x:c>
      <x:c r="O43" s="15" t="str"/>
      <x:c r="P43" s="15" t="str"/>
      <x:c r="Q43" s="15" t="str">
        <x:v>1</x:v>
      </x:c>
      <x:c r="R43" s="15" t="str">
        <x:v>body_map_recommendations</x:v>
      </x:c>
      <x:c r="S43" s="15" t="str">
        <x:v>2</x:v>
      </x:c>
    </x:row>
    <x:row r="44" ht="48" customHeight="1">
      <x:c r="A44" s="15" t="str">
        <x:v>act_body_neck_very_high.02</x:v>
      </x:c>
      <x:c r="B44" s="15" t="str">
        <x:v>act_body_neck_very_high</x:v>
      </x:c>
      <x:c r="C44" s="15" t="str">
        <x:v>recommendation</x:v>
      </x:c>
      <x:c r="D44" s="18" t="str">
        <x:v>ยกวัสดุขึ้นระดับเอว</x:v>
      </x:c>
      <x:c r="E44" s="18" t="str">
        <x:v>Raise materials to waist height.</x:v>
      </x:c>
      <x:c r="F44" s="15" t="str">
        <x:v>direct</x:v>
      </x:c>
      <x:c r="G44" s="15" t="str">
        <x:v>pass</x:v>
      </x:c>
      <x:c r="H44" s="15" t="str">
        <x:v>not_applicable</x:v>
      </x:c>
      <x:c r="I44" s="15" t="str">
        <x:v>pending_human_review</x:v>
      </x:c>
      <x:c r="J44" s="15" t="str">
        <x:v>pending_human_review</x:v>
      </x:c>
      <x:c r="K44" s="15" t="str">
        <x:v>pending_human_review</x:v>
      </x:c>
      <x:c r="L44" s="15" t="str">
        <x:v>pending_human_review</x:v>
      </x:c>
      <x:c r="M44" s="18" t="str"/>
      <x:c r="N44" s="15" t="str">
        <x:v>pending</x:v>
      </x:c>
      <x:c r="O44" s="15" t="str"/>
      <x:c r="P44" s="15" t="str"/>
      <x:c r="Q44" s="15" t="str">
        <x:v>1</x:v>
      </x:c>
      <x:c r="R44" s="15" t="str">
        <x:v>body_map_recommendations</x:v>
      </x:c>
      <x:c r="S44" s="15" t="str">
        <x:v>2</x:v>
      </x:c>
    </x:row>
    <x:row r="45" ht="48" customHeight="1">
      <x:c r="A45" s="15" t="str">
        <x:v>act_body_neck_very_high.03</x:v>
      </x:c>
      <x:c r="B45" s="15" t="str">
        <x:v>act_body_neck_very_high</x:v>
      </x:c>
      <x:c r="C45" s="15" t="str">
        <x:v>recommendation</x:v>
      </x:c>
      <x:c r="D45" s="18" t="str">
        <x:v>ใช้เครื่องมือด้ามยาว</x:v>
      </x:c>
      <x:c r="E45" s="18" t="str">
        <x:v>Use long-handled tools.</x:v>
      </x:c>
      <x:c r="F45" s="15" t="str">
        <x:v>direct</x:v>
      </x:c>
      <x:c r="G45" s="15" t="str">
        <x:v>pass</x:v>
      </x:c>
      <x:c r="H45" s="15" t="str">
        <x:v>not_applicable</x:v>
      </x:c>
      <x:c r="I45" s="15" t="str">
        <x:v>pending_human_review</x:v>
      </x:c>
      <x:c r="J45" s="15" t="str">
        <x:v>pending_human_review</x:v>
      </x:c>
      <x:c r="K45" s="15" t="str">
        <x:v>pending_human_review</x:v>
      </x:c>
      <x:c r="L45" s="15" t="str">
        <x:v>pending_human_review</x:v>
      </x:c>
      <x:c r="M45" s="18" t="str"/>
      <x:c r="N45" s="15" t="str">
        <x:v>pending</x:v>
      </x:c>
      <x:c r="O45" s="15" t="str"/>
      <x:c r="P45" s="15" t="str"/>
      <x:c r="Q45" s="15" t="str">
        <x:v>1</x:v>
      </x:c>
      <x:c r="R45" s="15" t="str">
        <x:v>body_map_recommendations</x:v>
      </x:c>
      <x:c r="S45" s="15" t="str">
        <x:v>2</x:v>
      </x:c>
    </x:row>
    <x:row r="46" ht="48" customHeight="1">
      <x:c r="A46" s="15" t="str">
        <x:v>act_body_neck_very_high.04</x:v>
      </x:c>
      <x:c r="B46" s="15" t="str">
        <x:v>act_body_neck_very_high</x:v>
      </x:c>
      <x:c r="C46" s="15" t="str">
        <x:v>recommendation</x:v>
      </x:c>
      <x:c r="D46" s="18" t="str">
        <x:v>เปลี่ยนอิริยาบถทุก 10-15 นาที</x:v>
      </x:c>
      <x:c r="E46" s="18" t="str">
        <x:v>Change posture every 10-15 minutes.</x:v>
      </x:c>
      <x:c r="F46" s="15" t="str">
        <x:v>direct</x:v>
      </x:c>
      <x:c r="G46" s="15" t="str">
        <x:v>pass</x:v>
      </x:c>
      <x:c r="H46" s="15" t="str">
        <x:v>pass</x:v>
      </x:c>
      <x:c r="I46" s="15" t="str">
        <x:v>pending_human_review</x:v>
      </x:c>
      <x:c r="J46" s="15" t="str">
        <x:v>pending_human_review</x:v>
      </x:c>
      <x:c r="K46" s="15" t="str">
        <x:v>pending_human_review</x:v>
      </x:c>
      <x:c r="L46" s="15" t="str">
        <x:v>pending_human_review</x:v>
      </x:c>
      <x:c r="M46" s="18" t="str"/>
      <x:c r="N46" s="15" t="str">
        <x:v>pending</x:v>
      </x:c>
      <x:c r="O46" s="15" t="str"/>
      <x:c r="P46" s="15" t="str"/>
      <x:c r="Q46" s="15" t="str">
        <x:v>1</x:v>
      </x:c>
      <x:c r="R46" s="15" t="str">
        <x:v>body_map_recommendations</x:v>
      </x:c>
      <x:c r="S46" s="15" t="str">
        <x:v>2</x:v>
      </x:c>
    </x:row>
    <x:row r="47" ht="48" customHeight="1">
      <x:c r="A47" s="15" t="str">
        <x:v>act_body_trunk_high.01</x:v>
      </x:c>
      <x:c r="B47" s="15" t="str">
        <x:v>act_body_trunk_high</x:v>
      </x:c>
      <x:c r="C47" s="15" t="str">
        <x:v>recommendation</x:v>
      </x:c>
      <x:c r="D47" s="18" t="str">
        <x:v>หลีกเลี่ยงการก้มต่อเนื่องเกิน 10-15 นาที ยืดเหยียดทุก 15 นาที</x:v>
      </x:c>
      <x:c r="E47" s="18" t="str">
        <x:v>Avoid continuous bending for more than 10-15 minutes and stretch every 15 minutes.</x:v>
      </x:c>
      <x:c r="F47" s="15" t="str">
        <x:v>direct</x:v>
      </x:c>
      <x:c r="G47" s="15" t="str">
        <x:v>pass</x:v>
      </x:c>
      <x:c r="H47" s="15" t="str">
        <x:v>pass</x:v>
      </x:c>
      <x:c r="I47" s="15" t="str">
        <x:v>pending_human_review</x:v>
      </x:c>
      <x:c r="J47" s="15" t="str">
        <x:v>pending_human_review</x:v>
      </x:c>
      <x:c r="K47" s="15" t="str">
        <x:v>pending_human_review</x:v>
      </x:c>
      <x:c r="L47" s="15" t="str">
        <x:v>pending_human_review</x:v>
      </x:c>
      <x:c r="M47" s="18" t="str"/>
      <x:c r="N47" s="15" t="str">
        <x:v>pending</x:v>
      </x:c>
      <x:c r="O47" s="15" t="str"/>
      <x:c r="P47" s="15" t="str"/>
      <x:c r="Q47" s="15" t="str">
        <x:v>1</x:v>
      </x:c>
      <x:c r="R47" s="15" t="str">
        <x:v>body_map_recommendations</x:v>
      </x:c>
      <x:c r="S47" s="15" t="str">
        <x:v>3</x:v>
      </x:c>
    </x:row>
    <x:row r="48" ht="48" customHeight="1">
      <x:c r="A48" s="15" t="str">
        <x:v>act_body_trunk_high.02</x:v>
      </x:c>
      <x:c r="B48" s="15" t="str">
        <x:v>act_body_trunk_high</x:v>
      </x:c>
      <x:c r="C48" s="15" t="str">
        <x:v>recommendation</x:v>
      </x:c>
      <x:c r="D48" s="18" t="str">
        <x:v>หันหน้าเข้าหาวัสดุก่อนยก</x:v>
      </x:c>
      <x:c r="E48" s="18" t="str">
        <x:v>Face the material before lifting.</x:v>
      </x:c>
      <x:c r="F48" s="15" t="str">
        <x:v>direct</x:v>
      </x:c>
      <x:c r="G48" s="15" t="str">
        <x:v>pass</x:v>
      </x:c>
      <x:c r="H48" s="15" t="str">
        <x:v>not_applicable</x:v>
      </x:c>
      <x:c r="I48" s="15" t="str">
        <x:v>pending_human_review</x:v>
      </x:c>
      <x:c r="J48" s="15" t="str">
        <x:v>pending_human_review</x:v>
      </x:c>
      <x:c r="K48" s="15" t="str">
        <x:v>pending_human_review</x:v>
      </x:c>
      <x:c r="L48" s="15" t="str">
        <x:v>pending_human_review</x:v>
      </x:c>
      <x:c r="M48" s="18" t="str"/>
      <x:c r="N48" s="15" t="str">
        <x:v>pending</x:v>
      </x:c>
      <x:c r="O48" s="15" t="str"/>
      <x:c r="P48" s="15" t="str"/>
      <x:c r="Q48" s="15" t="str">
        <x:v>1</x:v>
      </x:c>
      <x:c r="R48" s="15" t="str">
        <x:v>body_map_recommendations</x:v>
      </x:c>
      <x:c r="S48" s="15" t="str">
        <x:v>3</x:v>
      </x:c>
    </x:row>
    <x:row r="49" ht="48" customHeight="1">
      <x:c r="A49" s="15" t="str">
        <x:v>act_body_trunk_high.03</x:v>
      </x:c>
      <x:c r="B49" s="15" t="str">
        <x:v>act_body_trunk_high</x:v>
      </x:c>
      <x:c r="C49" s="15" t="str">
        <x:v>recommendation</x:v>
      </x:c>
      <x:c r="D49" s="18" t="str">
        <x:v>หมุนเท้าแทนการบิดเอว</x:v>
      </x:c>
      <x:c r="E49" s="18" t="str">
        <x:v>Turn with the feet instead of twisting the waist.</x:v>
      </x:c>
      <x:c r="F49" s="15" t="str">
        <x:v>direct</x:v>
      </x:c>
      <x:c r="G49" s="15" t="str">
        <x:v>pass</x:v>
      </x:c>
      <x:c r="H49" s="15" t="str">
        <x:v>not_applicable</x:v>
      </x:c>
      <x:c r="I49" s="15" t="str">
        <x:v>pending_human_review</x:v>
      </x:c>
      <x:c r="J49" s="15" t="str">
        <x:v>pending_human_review</x:v>
      </x:c>
      <x:c r="K49" s="15" t="str">
        <x:v>pending_human_review</x:v>
      </x:c>
      <x:c r="L49" s="15" t="str">
        <x:v>pending_human_review</x:v>
      </x:c>
      <x:c r="M49" s="18" t="str"/>
      <x:c r="N49" s="15" t="str">
        <x:v>pending</x:v>
      </x:c>
      <x:c r="O49" s="15" t="str"/>
      <x:c r="P49" s="15" t="str"/>
      <x:c r="Q49" s="15" t="str">
        <x:v>1</x:v>
      </x:c>
      <x:c r="R49" s="15" t="str">
        <x:v>body_map_recommendations</x:v>
      </x:c>
      <x:c r="S49" s="15" t="str">
        <x:v>3</x:v>
      </x:c>
    </x:row>
    <x:row r="50" ht="48" customHeight="1">
      <x:c r="A50" s="15" t="str">
        <x:v>act_body_trunk_medium.01</x:v>
      </x:c>
      <x:c r="B50" s="15" t="str">
        <x:v>act_body_trunk_medium</x:v>
      </x:c>
      <x:c r="C50" s="15" t="str">
        <x:v>recommendation</x:v>
      </x:c>
      <x:c r="D50" s="18" t="str">
        <x:v>วางวัสดุให้อยู่ใกล้ตัวไม่เกิน 40 ซม.</x:v>
      </x:c>
      <x:c r="E50" s="18" t="str">
        <x:v>Keep materials within 40 cm.</x:v>
      </x:c>
      <x:c r="F50" s="15" t="str">
        <x:v>direct</x:v>
      </x:c>
      <x:c r="G50" s="15" t="str">
        <x:v>pass</x:v>
      </x:c>
      <x:c r="H50" s="15" t="str">
        <x:v>pass</x:v>
      </x:c>
      <x:c r="I50" s="15" t="str">
        <x:v>pending_human_review</x:v>
      </x:c>
      <x:c r="J50" s="15" t="str">
        <x:v>pending_human_review</x:v>
      </x:c>
      <x:c r="K50" s="15" t="str">
        <x:v>pending_human_review</x:v>
      </x:c>
      <x:c r="L50" s="15" t="str">
        <x:v>pending_human_review</x:v>
      </x:c>
      <x:c r="M50" s="18" t="str"/>
      <x:c r="N50" s="15" t="str">
        <x:v>pending</x:v>
      </x:c>
      <x:c r="O50" s="15" t="str"/>
      <x:c r="P50" s="15" t="str"/>
      <x:c r="Q50" s="15" t="str">
        <x:v>1</x:v>
      </x:c>
      <x:c r="R50" s="15" t="str">
        <x:v>body_map_recommendations</x:v>
      </x:c>
      <x:c r="S50" s="15" t="str">
        <x:v>3</x:v>
      </x:c>
    </x:row>
    <x:row r="51" ht="48" customHeight="1">
      <x:c r="A51" s="15" t="str">
        <x:v>act_body_trunk_medium.02</x:v>
      </x:c>
      <x:c r="B51" s="15" t="str">
        <x:v>act_body_trunk_medium</x:v>
      </x:c>
      <x:c r="C51" s="15" t="str">
        <x:v>recommendation</x:v>
      </x:c>
      <x:c r="D51" s="18" t="str">
        <x:v>ยกงานจากพื้น 50-70 ซม.</x:v>
      </x:c>
      <x:c r="E51" s="18" t="str">
        <x:v>Raise work from the ground by 50-70 cm.</x:v>
      </x:c>
      <x:c r="F51" s="15" t="str">
        <x:v>direct</x:v>
      </x:c>
      <x:c r="G51" s="15" t="str">
        <x:v>pass</x:v>
      </x:c>
      <x:c r="H51" s="15" t="str">
        <x:v>pass</x:v>
      </x:c>
      <x:c r="I51" s="15" t="str">
        <x:v>pending_human_review</x:v>
      </x:c>
      <x:c r="J51" s="15" t="str">
        <x:v>pending_human_review</x:v>
      </x:c>
      <x:c r="K51" s="15" t="str">
        <x:v>pending_human_review</x:v>
      </x:c>
      <x:c r="L51" s="15" t="str">
        <x:v>pending_human_review</x:v>
      </x:c>
      <x:c r="M51" s="18" t="str"/>
      <x:c r="N51" s="15" t="str">
        <x:v>pending</x:v>
      </x:c>
      <x:c r="O51" s="15" t="str"/>
      <x:c r="P51" s="15" t="str"/>
      <x:c r="Q51" s="15" t="str">
        <x:v>1</x:v>
      </x:c>
      <x:c r="R51" s="15" t="str">
        <x:v>body_map_recommendations</x:v>
      </x:c>
      <x:c r="S51" s="15" t="str">
        <x:v>3</x:v>
      </x:c>
    </x:row>
    <x:row r="52" ht="48" customHeight="1">
      <x:c r="A52" s="15" t="str">
        <x:v>act_body_trunk_medium.03</x:v>
      </x:c>
      <x:c r="B52" s="15" t="str">
        <x:v>act_body_trunk_medium</x:v>
      </x:c>
      <x:c r="C52" s="15" t="str">
        <x:v>recommendation</x:v>
      </x:c>
      <x:c r="D52" s="18" t="str">
        <x:v>ลุกเปลี่ยนท่าทุก 20-30 นาที</x:v>
      </x:c>
      <x:c r="E52" s="18" t="str">
        <x:v>Stand up to change posture every 20-30 minutes.</x:v>
      </x:c>
      <x:c r="F52" s="15" t="str">
        <x:v>direct</x:v>
      </x:c>
      <x:c r="G52" s="15" t="str">
        <x:v>pass</x:v>
      </x:c>
      <x:c r="H52" s="15" t="str">
        <x:v>pass</x:v>
      </x:c>
      <x:c r="I52" s="15" t="str">
        <x:v>pending_human_review</x:v>
      </x:c>
      <x:c r="J52" s="15" t="str">
        <x:v>pending_human_review</x:v>
      </x:c>
      <x:c r="K52" s="15" t="str">
        <x:v>pending_human_review</x:v>
      </x:c>
      <x:c r="L52" s="15" t="str">
        <x:v>pending_human_review</x:v>
      </x:c>
      <x:c r="M52" s="18" t="str"/>
      <x:c r="N52" s="15" t="str">
        <x:v>pending</x:v>
      </x:c>
      <x:c r="O52" s="15" t="str"/>
      <x:c r="P52" s="15" t="str"/>
      <x:c r="Q52" s="15" t="str">
        <x:v>1</x:v>
      </x:c>
      <x:c r="R52" s="15" t="str">
        <x:v>body_map_recommendations</x:v>
      </x:c>
      <x:c r="S52" s="15" t="str">
        <x:v>3</x:v>
      </x:c>
    </x:row>
    <x:row r="53" ht="48" customHeight="1">
      <x:c r="A53" s="15" t="str">
        <x:v>act_body_trunk_very_high.01</x:v>
      </x:c>
      <x:c r="B53" s="15" t="str">
        <x:v>act_body_trunk_very_high</x:v>
      </x:c>
      <x:c r="C53" s="15" t="str">
        <x:v>recommendation</x:v>
      </x:c>
      <x:c r="D53" s="18" t="str">
        <x:v>ใช้รถเข็นหรืออุปกรณ์ช่วยยก</x:v>
      </x:c>
      <x:c r="E53" s="18" t="str">
        <x:v>Use carts or lifting aids.</x:v>
      </x:c>
      <x:c r="F53" s="15" t="str">
        <x:v>direct</x:v>
      </x:c>
      <x:c r="G53" s="15" t="str">
        <x:v>pass</x:v>
      </x:c>
      <x:c r="H53" s="15" t="str">
        <x:v>not_applicable</x:v>
      </x:c>
      <x:c r="I53" s="15" t="str">
        <x:v>pending_human_review</x:v>
      </x:c>
      <x:c r="J53" s="15" t="str">
        <x:v>pending_human_review</x:v>
      </x:c>
      <x:c r="K53" s="15" t="str">
        <x:v>pending_human_review</x:v>
      </x:c>
      <x:c r="L53" s="15" t="str">
        <x:v>pending_human_review</x:v>
      </x:c>
      <x:c r="M53" s="18" t="str"/>
      <x:c r="N53" s="15" t="str">
        <x:v>pending</x:v>
      </x:c>
      <x:c r="O53" s="15" t="str"/>
      <x:c r="P53" s="15" t="str"/>
      <x:c r="Q53" s="15" t="str">
        <x:v>1</x:v>
      </x:c>
      <x:c r="R53" s="15" t="str">
        <x:v>body_map_recommendations</x:v>
      </x:c>
      <x:c r="S53" s="15" t="str">
        <x:v>3-4</x:v>
      </x:c>
    </x:row>
    <x:row r="54" ht="48" customHeight="1">
      <x:c r="A54" s="15" t="str">
        <x:v>act_body_trunk_very_high.02</x:v>
      </x:c>
      <x:c r="B54" s="15" t="str">
        <x:v>act_body_trunk_very_high</x:v>
      </x:c>
      <x:c r="C54" s="15" t="str">
        <x:v>recommendation</x:v>
      </x:c>
      <x:c r="D54" s="18" t="str">
        <x:v>หลีกเลี่ยงการยกเกิน 20 กก. คนเดียว</x:v>
      </x:c>
      <x:c r="E54" s="18" t="str">
        <x:v>Avoid lifting more than 20 kg alone.</x:v>
      </x:c>
      <x:c r="F54" s="15" t="str">
        <x:v>direct</x:v>
      </x:c>
      <x:c r="G54" s="15" t="str">
        <x:v>pass</x:v>
      </x:c>
      <x:c r="H54" s="15" t="str">
        <x:v>pass</x:v>
      </x:c>
      <x:c r="I54" s="15" t="str">
        <x:v>pending_human_review</x:v>
      </x:c>
      <x:c r="J54" s="15" t="str">
        <x:v>pending_human_review</x:v>
      </x:c>
      <x:c r="K54" s="15" t="str">
        <x:v>pending_human_review</x:v>
      </x:c>
      <x:c r="L54" s="15" t="str">
        <x:v>pending_human_review</x:v>
      </x:c>
      <x:c r="M54" s="18" t="str"/>
      <x:c r="N54" s="15" t="str">
        <x:v>pending</x:v>
      </x:c>
      <x:c r="O54" s="15" t="str"/>
      <x:c r="P54" s="15" t="str"/>
      <x:c r="Q54" s="15" t="str">
        <x:v>1</x:v>
      </x:c>
      <x:c r="R54" s="15" t="str">
        <x:v>body_map_recommendations</x:v>
      </x:c>
      <x:c r="S54" s="15" t="str">
        <x:v>3-4</x:v>
      </x:c>
    </x:row>
    <x:row r="55" ht="48" customHeight="1">
      <x:c r="A55" s="15" t="str">
        <x:v>act_body_trunk_very_high.03</x:v>
      </x:c>
      <x:c r="B55" s="15" t="str">
        <x:v>act_body_trunk_very_high</x:v>
      </x:c>
      <x:c r="C55" s="15" t="str">
        <x:v>recommendation</x:v>
      </x:c>
      <x:c r="D55" s="18" t="str">
        <x:v>ปรับงานให้อยู่ระดับเข่าถึงเอว</x:v>
      </x:c>
      <x:c r="E55" s="18" t="str">
        <x:v>Raise the work area to knee-to-waist height.</x:v>
      </x:c>
      <x:c r="F55" s="15" t="str">
        <x:v>direct</x:v>
      </x:c>
      <x:c r="G55" s="15" t="str">
        <x:v>pass</x:v>
      </x:c>
      <x:c r="H55" s="15" t="str">
        <x:v>not_applicable</x:v>
      </x:c>
      <x:c r="I55" s="15" t="str">
        <x:v>pending_human_review</x:v>
      </x:c>
      <x:c r="J55" s="15" t="str">
        <x:v>pending_human_review</x:v>
      </x:c>
      <x:c r="K55" s="15" t="str">
        <x:v>pending_human_review</x:v>
      </x:c>
      <x:c r="L55" s="15" t="str">
        <x:v>pending_human_review</x:v>
      </x:c>
      <x:c r="M55" s="18" t="str"/>
      <x:c r="N55" s="15" t="str">
        <x:v>pending</x:v>
      </x:c>
      <x:c r="O55" s="15" t="str"/>
      <x:c r="P55" s="15" t="str"/>
      <x:c r="Q55" s="15" t="str">
        <x:v>1</x:v>
      </x:c>
      <x:c r="R55" s="15" t="str">
        <x:v>body_map_recommendations</x:v>
      </x:c>
      <x:c r="S55" s="15" t="str">
        <x:v>3-4</x:v>
      </x:c>
    </x:row>
    <x:row r="56" ht="48" customHeight="1">
      <x:c r="A56" s="15" t="str">
        <x:v>act_body_trunk_very_high.04</x:v>
      </x:c>
      <x:c r="B56" s="15" t="str">
        <x:v>act_body_trunk_very_high</x:v>
      </x:c>
      <x:c r="C56" s="15" t="str">
        <x:v>recommendation</x:v>
      </x:c>
      <x:c r="D56" s="18" t="str">
        <x:v>ลดการขนย้ายที่ไม่จำเป็น</x:v>
      </x:c>
      <x:c r="E56" s="18" t="str">
        <x:v>Reduce unnecessary carries.</x:v>
      </x:c>
      <x:c r="F56" s="15" t="str">
        <x:v>direct</x:v>
      </x:c>
      <x:c r="G56" s="15" t="str">
        <x:v>pass</x:v>
      </x:c>
      <x:c r="H56" s="15" t="str">
        <x:v>not_applicable</x:v>
      </x:c>
      <x:c r="I56" s="15" t="str">
        <x:v>pending_human_review</x:v>
      </x:c>
      <x:c r="J56" s="15" t="str">
        <x:v>pending_human_review</x:v>
      </x:c>
      <x:c r="K56" s="15" t="str">
        <x:v>pending_human_review</x:v>
      </x:c>
      <x:c r="L56" s="15" t="str">
        <x:v>pending_human_review</x:v>
      </x:c>
      <x:c r="M56" s="18" t="str"/>
      <x:c r="N56" s="15" t="str">
        <x:v>pending</x:v>
      </x:c>
      <x:c r="O56" s="15" t="str"/>
      <x:c r="P56" s="15" t="str"/>
      <x:c r="Q56" s="15" t="str">
        <x:v>1</x:v>
      </x:c>
      <x:c r="R56" s="15" t="str">
        <x:v>body_map_recommendations</x:v>
      </x:c>
      <x:c r="S56" s="15" t="str">
        <x:v>3-4</x:v>
      </x:c>
    </x:row>
    <x:row r="57" ht="48" customHeight="1">
      <x:c r="A57" s="15" t="str">
        <x:v>act_body_wrists_high.01</x:v>
      </x:c>
      <x:c r="B57" s="15" t="str">
        <x:v>act_body_wrists_high</x:v>
      </x:c>
      <x:c r="C57" s="15" t="str">
        <x:v>recommendation</x:v>
      </x:c>
      <x:c r="D57" s="18" t="str">
        <x:v>พักมือและข้อมือทุก 15-20 นาที</x:v>
      </x:c>
      <x:c r="E57" s="18" t="str">
        <x:v>Rest the hands and wrists every 15-20 minutes.</x:v>
      </x:c>
      <x:c r="F57" s="15" t="str">
        <x:v>direct</x:v>
      </x:c>
      <x:c r="G57" s="15" t="str">
        <x:v>pass</x:v>
      </x:c>
      <x:c r="H57" s="15" t="str">
        <x:v>pass</x:v>
      </x:c>
      <x:c r="I57" s="15" t="str">
        <x:v>pending_human_review</x:v>
      </x:c>
      <x:c r="J57" s="15" t="str">
        <x:v>pending_human_review</x:v>
      </x:c>
      <x:c r="K57" s="15" t="str">
        <x:v>pending_human_review</x:v>
      </x:c>
      <x:c r="L57" s="15" t="str">
        <x:v>pending_human_review</x:v>
      </x:c>
      <x:c r="M57" s="18" t="str"/>
      <x:c r="N57" s="15" t="str">
        <x:v>pending</x:v>
      </x:c>
      <x:c r="O57" s="15" t="str"/>
      <x:c r="P57" s="15" t="str"/>
      <x:c r="Q57" s="15" t="str">
        <x:v>1</x:v>
      </x:c>
      <x:c r="R57" s="15" t="str">
        <x:v>body_map_recommendations</x:v>
      </x:c>
      <x:c r="S57" s="15" t="str">
        <x:v>5-6</x:v>
      </x:c>
    </x:row>
    <x:row r="58" ht="48" customHeight="1">
      <x:c r="A58" s="15" t="str">
        <x:v>act_body_wrists_high.02</x:v>
      </x:c>
      <x:c r="B58" s="15" t="str">
        <x:v>act_body_wrists_high</x:v>
      </x:c>
      <x:c r="C58" s="15" t="str">
        <x:v>recommendation</x:v>
      </x:c>
      <x:c r="D58" s="18" t="str">
        <x:v>สลับงานทุก 20-30 นาที</x:v>
      </x:c>
      <x:c r="E58" s="18" t="str">
        <x:v>Rotate tasks every 20-30 minutes.</x:v>
      </x:c>
      <x:c r="F58" s="15" t="str">
        <x:v>direct</x:v>
      </x:c>
      <x:c r="G58" s="15" t="str">
        <x:v>pass</x:v>
      </x:c>
      <x:c r="H58" s="15" t="str">
        <x:v>pass</x:v>
      </x:c>
      <x:c r="I58" s="15" t="str">
        <x:v>pending_human_review</x:v>
      </x:c>
      <x:c r="J58" s="15" t="str">
        <x:v>pending_human_review</x:v>
      </x:c>
      <x:c r="K58" s="15" t="str">
        <x:v>pending_human_review</x:v>
      </x:c>
      <x:c r="L58" s="15" t="str">
        <x:v>pending_human_review</x:v>
      </x:c>
      <x:c r="M58" s="18" t="str"/>
      <x:c r="N58" s="15" t="str">
        <x:v>pending</x:v>
      </x:c>
      <x:c r="O58" s="15" t="str"/>
      <x:c r="P58" s="15" t="str"/>
      <x:c r="Q58" s="15" t="str">
        <x:v>1</x:v>
      </x:c>
      <x:c r="R58" s="15" t="str">
        <x:v>body_map_recommendations</x:v>
      </x:c>
      <x:c r="S58" s="15" t="str">
        <x:v>5-6</x:v>
      </x:c>
    </x:row>
    <x:row r="59" ht="48" customHeight="1">
      <x:c r="A59" s="15" t="str">
        <x:v>act_body_wrists_high.03</x:v>
      </x:c>
      <x:c r="B59" s="15" t="str">
        <x:v>act_body_wrists_high</x:v>
      </x:c>
      <x:c r="C59" s="15" t="str">
        <x:v>recommendation</x:v>
      </x:c>
      <x:c r="D59" s="18" t="str">
        <x:v>ใช้ด้ามจับที่เหมาะสม</x:v>
      </x:c>
      <x:c r="E59" s="18" t="str">
        <x:v>Use suitable handles.</x:v>
      </x:c>
      <x:c r="F59" s="15" t="str">
        <x:v>direct</x:v>
      </x:c>
      <x:c r="G59" s="15" t="str">
        <x:v>pass</x:v>
      </x:c>
      <x:c r="H59" s="15" t="str">
        <x:v>not_applicable</x:v>
      </x:c>
      <x:c r="I59" s="15" t="str">
        <x:v>pending_human_review</x:v>
      </x:c>
      <x:c r="J59" s="15" t="str">
        <x:v>pending_human_review</x:v>
      </x:c>
      <x:c r="K59" s="15" t="str">
        <x:v>pending_human_review</x:v>
      </x:c>
      <x:c r="L59" s="15" t="str">
        <x:v>pending_human_review</x:v>
      </x:c>
      <x:c r="M59" s="18" t="str"/>
      <x:c r="N59" s="15" t="str">
        <x:v>pending</x:v>
      </x:c>
      <x:c r="O59" s="15" t="str"/>
      <x:c r="P59" s="15" t="str"/>
      <x:c r="Q59" s="15" t="str">
        <x:v>1</x:v>
      </x:c>
      <x:c r="R59" s="15" t="str">
        <x:v>body_map_recommendations</x:v>
      </x:c>
      <x:c r="S59" s="15" t="str">
        <x:v>5-6</x:v>
      </x:c>
    </x:row>
    <x:row r="60" ht="48" customHeight="1">
      <x:c r="A60" s="15" t="str">
        <x:v>act_body_wrists_high.04</x:v>
      </x:c>
      <x:c r="B60" s="15" t="str">
        <x:v>act_body_wrists_high</x:v>
      </x:c>
      <x:c r="C60" s="15" t="str">
        <x:v>recommendation</x:v>
      </x:c>
      <x:c r="D60" s="18" t="str">
        <x:v>ลดแรงกำขณะจับอุปกรณ์</x:v>
      </x:c>
      <x:c r="E60" s="18" t="str">
        <x:v>Reduce gripping force when holding equipment.</x:v>
      </x:c>
      <x:c r="F60" s="15" t="str">
        <x:v>direct</x:v>
      </x:c>
      <x:c r="G60" s="15" t="str">
        <x:v>pass</x:v>
      </x:c>
      <x:c r="H60" s="15" t="str">
        <x:v>not_applicable</x:v>
      </x:c>
      <x:c r="I60" s="15" t="str">
        <x:v>pending_human_review</x:v>
      </x:c>
      <x:c r="J60" s="15" t="str">
        <x:v>pending_human_review</x:v>
      </x:c>
      <x:c r="K60" s="15" t="str">
        <x:v>pending_human_review</x:v>
      </x:c>
      <x:c r="L60" s="15" t="str">
        <x:v>pending_human_review</x:v>
      </x:c>
      <x:c r="M60" s="18" t="str"/>
      <x:c r="N60" s="15" t="str">
        <x:v>pending</x:v>
      </x:c>
      <x:c r="O60" s="15" t="str"/>
      <x:c r="P60" s="15" t="str"/>
      <x:c r="Q60" s="15" t="str">
        <x:v>1</x:v>
      </x:c>
      <x:c r="R60" s="15" t="str">
        <x:v>body_map_recommendations</x:v>
      </x:c>
      <x:c r="S60" s="15" t="str">
        <x:v>5-6</x:v>
      </x:c>
    </x:row>
    <x:row r="61" ht="48" customHeight="1">
      <x:c r="A61" s="15" t="str">
        <x:v>act_body_wrists_medium.01</x:v>
      </x:c>
      <x:c r="B61" s="15" t="str">
        <x:v>act_body_wrists_medium</x:v>
      </x:c>
      <x:c r="C61" s="15" t="str">
        <x:v>recommendation</x:v>
      </x:c>
      <x:c r="D61" s="18" t="str">
        <x:v>ใช้ด้ามจับที่พอดีมือ</x:v>
      </x:c>
      <x:c r="E61" s="18" t="str">
        <x:v>Use handles that fit the hand.</x:v>
      </x:c>
      <x:c r="F61" s="15" t="str">
        <x:v>direct</x:v>
      </x:c>
      <x:c r="G61" s="15" t="str">
        <x:v>pass</x:v>
      </x:c>
      <x:c r="H61" s="15" t="str">
        <x:v>not_applicable</x:v>
      </x:c>
      <x:c r="I61" s="15" t="str">
        <x:v>pending_human_review</x:v>
      </x:c>
      <x:c r="J61" s="15" t="str">
        <x:v>pending_human_review</x:v>
      </x:c>
      <x:c r="K61" s="15" t="str">
        <x:v>pending_human_review</x:v>
      </x:c>
      <x:c r="L61" s="15" t="str">
        <x:v>pending_human_review</x:v>
      </x:c>
      <x:c r="M61" s="18" t="str"/>
      <x:c r="N61" s="15" t="str">
        <x:v>pending</x:v>
      </x:c>
      <x:c r="O61" s="15" t="str"/>
      <x:c r="P61" s="15" t="str"/>
      <x:c r="Q61" s="15" t="str">
        <x:v>1</x:v>
      </x:c>
      <x:c r="R61" s="15" t="str">
        <x:v>body_map_recommendations</x:v>
      </x:c>
      <x:c r="S61" s="15" t="str">
        <x:v>5</x:v>
      </x:c>
    </x:row>
    <x:row r="62" ht="48" customHeight="1">
      <x:c r="A62" s="15" t="str">
        <x:v>act_body_wrists_medium.02</x:v>
      </x:c>
      <x:c r="B62" s="15" t="str">
        <x:v>act_body_wrists_medium</x:v>
      </x:c>
      <x:c r="C62" s="15" t="str">
        <x:v>recommendation</x:v>
      </x:c>
      <x:c r="D62" s="18" t="str">
        <x:v>คลายมือเป็นระยะ</x:v>
      </x:c>
      <x:c r="E62" s="18" t="str">
        <x:v>Relax the grip regularly.</x:v>
      </x:c>
      <x:c r="F62" s="15" t="str">
        <x:v>direct</x:v>
      </x:c>
      <x:c r="G62" s="15" t="str">
        <x:v>pass</x:v>
      </x:c>
      <x:c r="H62" s="15" t="str">
        <x:v>not_applicable</x:v>
      </x:c>
      <x:c r="I62" s="15" t="str">
        <x:v>pending_human_review</x:v>
      </x:c>
      <x:c r="J62" s="15" t="str">
        <x:v>pending_human_review</x:v>
      </x:c>
      <x:c r="K62" s="15" t="str">
        <x:v>pending_human_review</x:v>
      </x:c>
      <x:c r="L62" s="15" t="str">
        <x:v>pending_human_review</x:v>
      </x:c>
      <x:c r="M62" s="18" t="str"/>
      <x:c r="N62" s="15" t="str">
        <x:v>pending</x:v>
      </x:c>
      <x:c r="O62" s="15" t="str"/>
      <x:c r="P62" s="15" t="str"/>
      <x:c r="Q62" s="15" t="str">
        <x:v>1</x:v>
      </x:c>
      <x:c r="R62" s="15" t="str">
        <x:v>body_map_recommendations</x:v>
      </x:c>
      <x:c r="S62" s="15" t="str">
        <x:v>5</x:v>
      </x:c>
    </x:row>
    <x:row r="63" ht="48" customHeight="1">
      <x:c r="A63" s="15" t="str">
        <x:v>act_body_wrists_medium.03</x:v>
      </x:c>
      <x:c r="B63" s="15" t="str">
        <x:v>act_body_wrists_medium</x:v>
      </x:c>
      <x:c r="C63" s="15" t="str">
        <x:v>recommendation</x:v>
      </x:c>
      <x:c r="D63" s="18" t="str">
        <x:v>พักข้อมือทุก 30 นาที และยืดเหยียดนิ้วมือกับข้อมือระหว่างพัก</x:v>
      </x:c>
      <x:c r="E63" s="18" t="str">
        <x:v>Rest the wrists every 30 minutes and stretch the fingers and wrists during breaks.</x:v>
      </x:c>
      <x:c r="F63" s="15" t="str">
        <x:v>direct</x:v>
      </x:c>
      <x:c r="G63" s="15" t="str">
        <x:v>pass</x:v>
      </x:c>
      <x:c r="H63" s="15" t="str">
        <x:v>pass</x:v>
      </x:c>
      <x:c r="I63" s="15" t="str">
        <x:v>pending_human_review</x:v>
      </x:c>
      <x:c r="J63" s="15" t="str">
        <x:v>pending_human_review</x:v>
      </x:c>
      <x:c r="K63" s="15" t="str">
        <x:v>pending_human_review</x:v>
      </x:c>
      <x:c r="L63" s="15" t="str">
        <x:v>pending_human_review</x:v>
      </x:c>
      <x:c r="M63" s="18" t="str"/>
      <x:c r="N63" s="15" t="str">
        <x:v>pending</x:v>
      </x:c>
      <x:c r="O63" s="15" t="str"/>
      <x:c r="P63" s="15" t="str"/>
      <x:c r="Q63" s="15" t="str">
        <x:v>1</x:v>
      </x:c>
      <x:c r="R63" s="15" t="str">
        <x:v>body_map_recommendations</x:v>
      </x:c>
      <x:c r="S63" s="15" t="str">
        <x:v>5</x:v>
      </x:c>
    </x:row>
    <x:row r="64" ht="48" customHeight="1">
      <x:c r="A64" s="15" t="str">
        <x:v>act_body_wrists_very_high.01</x:v>
      </x:c>
      <x:c r="B64" s="15" t="str">
        <x:v>act_body_wrists_very_high</x:v>
      </x:c>
      <x:c r="C64" s="15" t="str">
        <x:v>recommendation</x:v>
      </x:c>
      <x:c r="D64" s="18" t="str">
        <x:v>พักข้อมือ 3-5 นาทีทุก 15 นาที</x:v>
      </x:c>
      <x:c r="E64" s="18" t="str">
        <x:v>Rest wrists 3-5 minutes every 15 minutes.</x:v>
      </x:c>
      <x:c r="F64" s="15" t="str">
        <x:v>direct</x:v>
      </x:c>
      <x:c r="G64" s="15" t="str">
        <x:v>pass</x:v>
      </x:c>
      <x:c r="H64" s="15" t="str">
        <x:v>pass</x:v>
      </x:c>
      <x:c r="I64" s="15" t="str">
        <x:v>pending_human_review</x:v>
      </x:c>
      <x:c r="J64" s="15" t="str">
        <x:v>pending_human_review</x:v>
      </x:c>
      <x:c r="K64" s="15" t="str">
        <x:v>pending_human_review</x:v>
      </x:c>
      <x:c r="L64" s="15" t="str">
        <x:v>pending_human_review</x:v>
      </x:c>
      <x:c r="M64" s="18" t="str"/>
      <x:c r="N64" s="15" t="str">
        <x:v>pending</x:v>
      </x:c>
      <x:c r="O64" s="15" t="str"/>
      <x:c r="P64" s="15" t="str"/>
      <x:c r="Q64" s="15" t="str">
        <x:v>1</x:v>
      </x:c>
      <x:c r="R64" s="15" t="str">
        <x:v>body_map_recommendations</x:v>
      </x:c>
      <x:c r="S64" s="15" t="str">
        <x:v>6</x:v>
      </x:c>
    </x:row>
    <x:row r="65" ht="48" customHeight="1">
      <x:c r="A65" s="15" t="str">
        <x:v>act_body_wrists_very_high.02</x:v>
      </x:c>
      <x:c r="B65" s="15" t="str">
        <x:v>act_body_wrists_very_high</x:v>
      </x:c>
      <x:c r="C65" s="15" t="str">
        <x:v>recommendation</x:v>
      </x:c>
      <x:c r="D65" s="18" t="str">
        <x:v>เปลี่ยนเครื่องมือให้พอดีกับมือ</x:v>
      </x:c>
      <x:c r="E65" s="18" t="str">
        <x:v>Change to better-fitting tools.</x:v>
      </x:c>
      <x:c r="F65" s="15" t="str">
        <x:v>direct</x:v>
      </x:c>
      <x:c r="G65" s="15" t="str">
        <x:v>pass</x:v>
      </x:c>
      <x:c r="H65" s="15" t="str">
        <x:v>not_applicable</x:v>
      </x:c>
      <x:c r="I65" s="15" t="str">
        <x:v>pending_human_review</x:v>
      </x:c>
      <x:c r="J65" s="15" t="str">
        <x:v>pending_human_review</x:v>
      </x:c>
      <x:c r="K65" s="15" t="str">
        <x:v>pending_human_review</x:v>
      </x:c>
      <x:c r="L65" s="15" t="str">
        <x:v>pending_human_review</x:v>
      </x:c>
      <x:c r="M65" s="18" t="str"/>
      <x:c r="N65" s="15" t="str">
        <x:v>pending</x:v>
      </x:c>
      <x:c r="O65" s="15" t="str"/>
      <x:c r="P65" s="15" t="str"/>
      <x:c r="Q65" s="15" t="str">
        <x:v>1</x:v>
      </x:c>
      <x:c r="R65" s="15" t="str">
        <x:v>body_map_recommendations</x:v>
      </x:c>
      <x:c r="S65" s="15" t="str">
        <x:v>6</x:v>
      </x:c>
    </x:row>
    <x:row r="66" ht="48" customHeight="1">
      <x:c r="A66" s="15" t="str">
        <x:v>act_body_wrists_very_high.03</x:v>
      </x:c>
      <x:c r="B66" s="15" t="str">
        <x:v>act_body_wrists_very_high</x:v>
      </x:c>
      <x:c r="C66" s="15" t="str">
        <x:v>recommendation</x:v>
      </x:c>
      <x:c r="D66" s="18" t="str">
        <x:v>ใช้อุปกรณ์ช่วยลดแรงกำหรือแรงบีบที่ไม่จำเป็น</x:v>
      </x:c>
      <x:c r="E66" s="18" t="str">
        <x:v>Use aids that reduce unnecessary gripping or squeezing force.</x:v>
      </x:c>
      <x:c r="F66" s="15" t="str">
        <x:v>direct</x:v>
      </x:c>
      <x:c r="G66" s="15" t="str">
        <x:v>pass</x:v>
      </x:c>
      <x:c r="H66" s="15" t="str">
        <x:v>not_applicable</x:v>
      </x:c>
      <x:c r="I66" s="15" t="str">
        <x:v>pending_human_review</x:v>
      </x:c>
      <x:c r="J66" s="15" t="str">
        <x:v>pending_human_review</x:v>
      </x:c>
      <x:c r="K66" s="15" t="str">
        <x:v>pending_human_review</x:v>
      </x:c>
      <x:c r="L66" s="15" t="str">
        <x:v>pending_human_review</x:v>
      </x:c>
      <x:c r="M66" s="18" t="str"/>
      <x:c r="N66" s="15" t="str">
        <x:v>pending</x:v>
      </x:c>
      <x:c r="O66" s="15" t="str"/>
      <x:c r="P66" s="15" t="str"/>
      <x:c r="Q66" s="15" t="str">
        <x:v>1</x:v>
      </x:c>
      <x:c r="R66" s="15" t="str">
        <x:v>body_map_recommendations</x:v>
      </x:c>
      <x:c r="S66" s="15" t="str">
        <x:v>6</x:v>
      </x:c>
    </x:row>
    <x:row r="67" ht="48" customHeight="1">
      <x:c r="A67" s="15" t="str">
        <x:v>act_check_wheels.01</x:v>
      </x:c>
      <x:c r="B67" s="15" t="str">
        <x:v>act_check_wheels</x:v>
      </x:c>
      <x:c r="C67" s="15" t="str">
        <x:v>recommendation</x:v>
      </x:c>
      <x:c r="D67" s="18" t="str">
        <x:v>ตรวจสอบล้อรถเข็นว่าฝืดหรือไม่</x:v>
      </x:c>
      <x:c r="E67" s="18" t="str">
        <x:v>Check cart wheels for friction.</x:v>
      </x:c>
      <x:c r="F67" s="15" t="str">
        <x:v>direct</x:v>
      </x:c>
      <x:c r="G67" s="15" t="str">
        <x:v>pass</x:v>
      </x:c>
      <x:c r="H67" s="15" t="str">
        <x:v>not_applicable</x:v>
      </x:c>
      <x:c r="I67" s="15" t="str">
        <x:v>pending_human_review</x:v>
      </x:c>
      <x:c r="J67" s="15" t="str">
        <x:v>pending_human_review</x:v>
      </x:c>
      <x:c r="K67" s="15" t="str">
        <x:v>pending_human_review</x:v>
      </x:c>
      <x:c r="L67" s="15" t="str">
        <x:v>pending_human_review</x:v>
      </x:c>
      <x:c r="M67" s="18" t="str"/>
      <x:c r="N67" s="15" t="str">
        <x:v>pending</x:v>
      </x:c>
      <x:c r="O67" s="15" t="str"/>
      <x:c r="P67" s="15" t="str"/>
      <x:c r="Q67" s="15" t="str">
        <x:v>1</x:v>
      </x:c>
      <x:c r="R67" s="15" t="str">
        <x:v>ilo_ergonomic_checkpoints_agriculture</x:v>
      </x:c>
      <x:c r="S67" s="15" t="str">
        <x:v>37</x:v>
      </x:c>
    </x:row>
    <x:row r="68" ht="48" customHeight="1">
      <x:c r="A68" s="15" t="str">
        <x:v>act_extra_fert_cart.01</x:v>
      </x:c>
      <x:c r="B68" s="15" t="str">
        <x:v>act_extra_fert_cart</x:v>
      </x:c>
      <x:c r="C68" s="15" t="str">
        <x:v>recommendation</x:v>
      </x:c>
      <x:c r="D68" s="18" t="str">
        <x:v>ใช้รถเข็นบรรทุกกระสอบปุ๋ยแทนการแบก</x:v>
      </x:c>
      <x:c r="E68" s="18" t="str">
        <x:v>Use a cart to carry fertilizer sacks instead of carrying them on the body.</x:v>
      </x:c>
      <x:c r="F68" s="15" t="str">
        <x:v>direct</x:v>
      </x:c>
      <x:c r="G68" s="15" t="str">
        <x:v>pass</x:v>
      </x:c>
      <x:c r="H68" s="15" t="str">
        <x:v>not_applicable</x:v>
      </x:c>
      <x:c r="I68" s="15" t="str">
        <x:v>pending_human_review</x:v>
      </x:c>
      <x:c r="J68" s="15" t="str">
        <x:v>pending_human_review</x:v>
      </x:c>
      <x:c r="K68" s="15" t="str">
        <x:v>pending_human_review</x:v>
      </x:c>
      <x:c r="L68" s="15" t="str">
        <x:v>pending_human_review</x:v>
      </x:c>
      <x:c r="M68" s="18" t="str"/>
      <x:c r="N68" s="15" t="str">
        <x:v>pending</x:v>
      </x:c>
      <x:c r="O68" s="15" t="str"/>
      <x:c r="P68" s="15" t="str"/>
      <x:c r="Q68" s="15" t="str">
        <x:v>1</x:v>
      </x:c>
      <x:c r="R68" s="15" t="str">
        <x:v>app_recommendations_v3</x:v>
      </x:c>
      <x:c r="S68" s="15" t="str">
        <x:v>2</x:v>
      </x:c>
    </x:row>
    <x:row r="69" ht="48" customHeight="1">
      <x:c r="A69" s="15" t="str">
        <x:v>act_extra_prune_ladder.01</x:v>
      </x:c>
      <x:c r="B69" s="15" t="str">
        <x:v>act_extra_prune_ladder</x:v>
      </x:c>
      <x:c r="C69" s="15" t="str">
        <x:v>recommendation</x:v>
      </x:c>
      <x:c r="D69" s="18" t="str">
        <x:v>ใช้บันไดที่มั่นคงแทนการเอื้อมสุดแขน</x:v>
      </x:c>
      <x:c r="E69" s="18" t="str">
        <x:v>Use a stable ladder instead of reaching with the arm fully extended.</x:v>
      </x:c>
      <x:c r="F69" s="15" t="str">
        <x:v>direct</x:v>
      </x:c>
      <x:c r="G69" s="15" t="str">
        <x:v>pass</x:v>
      </x:c>
      <x:c r="H69" s="15" t="str">
        <x:v>not_applicable</x:v>
      </x:c>
      <x:c r="I69" s="15" t="str">
        <x:v>pending_human_review</x:v>
      </x:c>
      <x:c r="J69" s="15" t="str">
        <x:v>pending_human_review</x:v>
      </x:c>
      <x:c r="K69" s="15" t="str">
        <x:v>pending_human_review</x:v>
      </x:c>
      <x:c r="L69" s="15" t="str">
        <x:v>pending_human_review</x:v>
      </x:c>
      <x:c r="M69" s="18" t="str"/>
      <x:c r="N69" s="15" t="str">
        <x:v>pending</x:v>
      </x:c>
      <x:c r="O69" s="15" t="str"/>
      <x:c r="P69" s="15" t="str"/>
      <x:c r="Q69" s="15" t="str">
        <x:v>1</x:v>
      </x:c>
      <x:c r="R69" s="15" t="str">
        <x:v>app_recommendations_v3</x:v>
      </x:c>
      <x:c r="S69" s="15" t="str">
        <x:v>2</x:v>
      </x:c>
    </x:row>
    <x:row r="70" ht="48" customHeight="1">
      <x:c r="A70" s="15" t="str">
        <x:v>act_extra_prune_tool.01</x:v>
      </x:c>
      <x:c r="B70" s="15" t="str">
        <x:v>act_extra_prune_tool</x:v>
      </x:c>
      <x:c r="C70" s="15" t="str">
        <x:v>recommendation</x:v>
      </x:c>
      <x:c r="D70" s="18" t="str">
        <x:v>ใช้กรรไกรตัดกิ่งด้ามยาว</x:v>
      </x:c>
      <x:c r="E70" s="18" t="str">
        <x:v>Use long-handled pruning shears.</x:v>
      </x:c>
      <x:c r="F70" s="15" t="str">
        <x:v>direct</x:v>
      </x:c>
      <x:c r="G70" s="15" t="str">
        <x:v>pass</x:v>
      </x:c>
      <x:c r="H70" s="15" t="str">
        <x:v>not_applicable</x:v>
      </x:c>
      <x:c r="I70" s="15" t="str">
        <x:v>pending_human_review</x:v>
      </x:c>
      <x:c r="J70" s="15" t="str">
        <x:v>pending_human_review</x:v>
      </x:c>
      <x:c r="K70" s="15" t="str">
        <x:v>pending_human_review</x:v>
      </x:c>
      <x:c r="L70" s="15" t="str">
        <x:v>pending_human_review</x:v>
      </x:c>
      <x:c r="M70" s="18" t="str"/>
      <x:c r="N70" s="15" t="str">
        <x:v>pending</x:v>
      </x:c>
      <x:c r="O70" s="15" t="str"/>
      <x:c r="P70" s="15" t="str"/>
      <x:c r="Q70" s="15" t="str">
        <x:v>1</x:v>
      </x:c>
      <x:c r="R70" s="15" t="str">
        <x:v>app_recommendations_v3</x:v>
      </x:c>
      <x:c r="S70" s="15" t="str">
        <x:v>2</x:v>
      </x:c>
    </x:row>
    <x:row r="71" ht="48" customHeight="1">
      <x:c r="A71" s="15" t="str">
        <x:v>act_extra_spray_strap.01</x:v>
      </x:c>
      <x:c r="B71" s="15" t="str">
        <x:v>act_extra_spray_strap</x:v>
      </x:c>
      <x:c r="C71" s="15" t="str">
        <x:v>recommendation</x:v>
      </x:c>
      <x:c r="D71" s="18" t="str">
        <x:v>ปรับสายสะพายเครื่องพ่นยาให้กระชับ</x:v>
      </x:c>
      <x:c r="E71" s="18" t="str">
        <x:v>Adjust the sprayer straps so they fit securely.</x:v>
      </x:c>
      <x:c r="F71" s="15" t="str">
        <x:v>direct</x:v>
      </x:c>
      <x:c r="G71" s="15" t="str">
        <x:v>pass</x:v>
      </x:c>
      <x:c r="H71" s="15" t="str">
        <x:v>not_applicable</x:v>
      </x:c>
      <x:c r="I71" s="15" t="str">
        <x:v>pending_human_review</x:v>
      </x:c>
      <x:c r="J71" s="15" t="str">
        <x:v>pending_human_review</x:v>
      </x:c>
      <x:c r="K71" s="15" t="str">
        <x:v>pending_human_review</x:v>
      </x:c>
      <x:c r="L71" s="15" t="str">
        <x:v>pending_human_review</x:v>
      </x:c>
      <x:c r="M71" s="18" t="str"/>
      <x:c r="N71" s="15" t="str">
        <x:v>pending</x:v>
      </x:c>
      <x:c r="O71" s="15" t="str"/>
      <x:c r="P71" s="15" t="str"/>
      <x:c r="Q71" s="15" t="str">
        <x:v>1</x:v>
      </x:c>
      <x:c r="R71" s="15" t="str">
        <x:v>app_recommendations_v3</x:v>
      </x:c>
      <x:c r="S71" s="15" t="str">
        <x:v>2</x:v>
      </x:c>
    </x:row>
    <x:row r="72" ht="48" customHeight="1">
      <x:c r="A72" s="15" t="str">
        <x:v>act_extra_spray_switch.01</x:v>
      </x:c>
      <x:c r="B72" s="15" t="str">
        <x:v>act_extra_spray_switch</x:v>
      </x:c>
      <x:c r="C72" s="15" t="str">
        <x:v>recommendation</x:v>
      </x:c>
      <x:c r="D72" s="18" t="str">
        <x:v>สลับข้างสะพายถังเพื่อลดการกดทับไหล่เดียว</x:v>
      </x:c>
      <x:c r="E72" s="18" t="str">
        <x:v>Alternate the shoulder used to carry the tank to reduce pressure on one shoulder.</x:v>
      </x:c>
      <x:c r="F72" s="15" t="str">
        <x:v>direct</x:v>
      </x:c>
      <x:c r="G72" s="15" t="str">
        <x:v>pass</x:v>
      </x:c>
      <x:c r="H72" s="15" t="str">
        <x:v>not_applicable</x:v>
      </x:c>
      <x:c r="I72" s="15" t="str">
        <x:v>pending_human_review</x:v>
      </x:c>
      <x:c r="J72" s="15" t="str">
        <x:v>pending_human_review</x:v>
      </x:c>
      <x:c r="K72" s="15" t="str">
        <x:v>pending_human_review</x:v>
      </x:c>
      <x:c r="L72" s="15" t="str">
        <x:v>pending_human_review</x:v>
      </x:c>
      <x:c r="M72" s="18" t="str"/>
      <x:c r="N72" s="15" t="str">
        <x:v>pending</x:v>
      </x:c>
      <x:c r="O72" s="15" t="str"/>
      <x:c r="P72" s="15" t="str"/>
      <x:c r="Q72" s="15" t="str">
        <x:v>1</x:v>
      </x:c>
      <x:c r="R72" s="15" t="str">
        <x:v>app_recommendations_v3</x:v>
      </x:c>
      <x:c r="S72" s="15" t="str">
        <x:v>2</x:v>
      </x:c>
    </x:row>
    <x:row r="73" ht="48" customHeight="1">
      <x:c r="A73" s="15" t="str">
        <x:v>act_fert_ref_high.01</x:v>
      </x:c>
      <x:c r="B73" s="15" t="str">
        <x:v>act_fert_ref_high</x:v>
      </x:c>
      <x:c r="C73" s="15" t="str">
        <x:v>recommendation</x:v>
      </x:c>
      <x:c r="D73" s="18" t="str">
        <x:v>ลดน้ำหนักปุ๋ยต่อครั้ง</x:v>
      </x:c>
      <x:c r="E73" s="18" t="str">
        <x:v>Reduce fertilizer weight per trip.</x:v>
      </x:c>
      <x:c r="F73" s="15" t="str">
        <x:v>direct</x:v>
      </x:c>
      <x:c r="G73" s="15" t="str">
        <x:v>pass</x:v>
      </x:c>
      <x:c r="H73" s="15" t="str">
        <x:v>not_applicable</x:v>
      </x:c>
      <x:c r="I73" s="15" t="str">
        <x:v>pending_human_review</x:v>
      </x:c>
      <x:c r="J73" s="15" t="str">
        <x:v>pending_human_review</x:v>
      </x:c>
      <x:c r="K73" s="15" t="str">
        <x:v>pending_human_review</x:v>
      </x:c>
      <x:c r="L73" s="15" t="str">
        <x:v>pending_human_review</x:v>
      </x:c>
      <x:c r="M73" s="18" t="str"/>
      <x:c r="N73" s="15" t="str">
        <x:v>pending</x:v>
      </x:c>
      <x:c r="O73" s="15" t="str"/>
      <x:c r="P73" s="15" t="str"/>
      <x:c r="Q73" s="15" t="str">
        <x:v>1</x:v>
      </x:c>
      <x:c r="R73" s="15" t="str">
        <x:v>app_recommendations_v3</x:v>
      </x:c>
      <x:c r="S73" s="15" t="str">
        <x:v>2</x:v>
      </x:c>
    </x:row>
    <x:row r="74" ht="48" customHeight="1">
      <x:c r="A74" s="15" t="str">
        <x:v>act_fert_ref_high.02</x:v>
      </x:c>
      <x:c r="B74" s="15" t="str">
        <x:v>act_fert_ref_high</x:v>
      </x:c>
      <x:c r="C74" s="15" t="str">
        <x:v>recommendation</x:v>
      </x:c>
      <x:c r="D74" s="18" t="str">
        <x:v>ใช้สายพานหรือรถเข็น</x:v>
      </x:c>
      <x:c r="E74" s="18" t="str">
        <x:v>Use a conveyor or cart.</x:v>
      </x:c>
      <x:c r="F74" s="15" t="str">
        <x:v>direct</x:v>
      </x:c>
      <x:c r="G74" s="15" t="str">
        <x:v>pass</x:v>
      </x:c>
      <x:c r="H74" s="15" t="str">
        <x:v>not_applicable</x:v>
      </x:c>
      <x:c r="I74" s="15" t="str">
        <x:v>pending_human_review</x:v>
      </x:c>
      <x:c r="J74" s="15" t="str">
        <x:v>pending_human_review</x:v>
      </x:c>
      <x:c r="K74" s="15" t="str">
        <x:v>pending_human_review</x:v>
      </x:c>
      <x:c r="L74" s="15" t="str">
        <x:v>pending_human_review</x:v>
      </x:c>
      <x:c r="M74" s="18" t="str"/>
      <x:c r="N74" s="15" t="str">
        <x:v>pending</x:v>
      </x:c>
      <x:c r="O74" s="15" t="str"/>
      <x:c r="P74" s="15" t="str"/>
      <x:c r="Q74" s="15" t="str">
        <x:v>1</x:v>
      </x:c>
      <x:c r="R74" s="15" t="str">
        <x:v>app_recommendations_v3</x:v>
      </x:c>
      <x:c r="S74" s="15" t="str">
        <x:v>2</x:v>
      </x:c>
    </x:row>
    <x:row r="75" ht="48" customHeight="1">
      <x:c r="A75" s="15" t="str">
        <x:v>act_fert_ref_high.03</x:v>
      </x:c>
      <x:c r="B75" s="15" t="str">
        <x:v>act_fert_ref_high</x:v>
      </x:c>
      <x:c r="C75" s="15" t="str">
        <x:v>recommendation</x:v>
      </x:c>
      <x:c r="D75" s="18" t="str">
        <x:v>จัดพัก 10 นาทีทุกชั่วโมง</x:v>
      </x:c>
      <x:c r="E75" s="18" t="str">
        <x:v>Rest 10 minutes every hour.</x:v>
      </x:c>
      <x:c r="F75" s="15" t="str">
        <x:v>direct</x:v>
      </x:c>
      <x:c r="G75" s="15" t="str">
        <x:v>pass</x:v>
      </x:c>
      <x:c r="H75" s="15" t="str">
        <x:v>pass</x:v>
      </x:c>
      <x:c r="I75" s="15" t="str">
        <x:v>pending_human_review</x:v>
      </x:c>
      <x:c r="J75" s="15" t="str">
        <x:v>pending_human_review</x:v>
      </x:c>
      <x:c r="K75" s="15" t="str">
        <x:v>pending_human_review</x:v>
      </x:c>
      <x:c r="L75" s="15" t="str">
        <x:v>pending_human_review</x:v>
      </x:c>
      <x:c r="M75" s="18" t="str"/>
      <x:c r="N75" s="15" t="str">
        <x:v>pending</x:v>
      </x:c>
      <x:c r="O75" s="15" t="str"/>
      <x:c r="P75" s="15" t="str"/>
      <x:c r="Q75" s="15" t="str">
        <x:v>1</x:v>
      </x:c>
      <x:c r="R75" s="15" t="str">
        <x:v>app_recommendations_v3</x:v>
      </x:c>
      <x:c r="S75" s="15" t="str">
        <x:v>2</x:v>
      </x:c>
    </x:row>
    <x:row r="76" ht="48" customHeight="1">
      <x:c r="A76" s="15" t="str">
        <x:v>act_fert_ref_high.04</x:v>
      </x:c>
      <x:c r="B76" s="15" t="str">
        <x:v>act_fert_ref_high</x:v>
      </x:c>
      <x:c r="C76" s="15" t="str">
        <x:v>recommendation</x:v>
      </x:c>
      <x:c r="D76" s="18" t="str">
        <x:v>หลีกเลี่ยงการทำงานบนพื้นที่ลาดชันต่อเนื่อง</x:v>
      </x:c>
      <x:c r="E76" s="18" t="str">
        <x:v>Avoid continuous work on slopes.</x:v>
      </x:c>
      <x:c r="F76" s="15" t="str">
        <x:v>direct</x:v>
      </x:c>
      <x:c r="G76" s="15" t="str">
        <x:v>pass</x:v>
      </x:c>
      <x:c r="H76" s="15" t="str">
        <x:v>not_applicable</x:v>
      </x:c>
      <x:c r="I76" s="15" t="str">
        <x:v>pending_human_review</x:v>
      </x:c>
      <x:c r="J76" s="15" t="str">
        <x:v>pending_human_review</x:v>
      </x:c>
      <x:c r="K76" s="15" t="str">
        <x:v>pending_human_review</x:v>
      </x:c>
      <x:c r="L76" s="15" t="str">
        <x:v>pending_human_review</x:v>
      </x:c>
      <x:c r="M76" s="18" t="str"/>
      <x:c r="N76" s="15" t="str">
        <x:v>pending</x:v>
      </x:c>
      <x:c r="O76" s="15" t="str"/>
      <x:c r="P76" s="15" t="str"/>
      <x:c r="Q76" s="15" t="str">
        <x:v>1</x:v>
      </x:c>
      <x:c r="R76" s="15" t="str">
        <x:v>app_recommendations_v3</x:v>
      </x:c>
      <x:c r="S76" s="15" t="str">
        <x:v>2</x:v>
      </x:c>
    </x:row>
    <x:row r="77" ht="48" customHeight="1">
      <x:c r="A77" s="15" t="str">
        <x:v>act_fert_ref_low.01</x:v>
      </x:c>
      <x:c r="B77" s="15" t="str">
        <x:v>act_fert_ref_low</x:v>
      </x:c>
      <x:c r="C77" s="15" t="str">
        <x:v>recommendation</x:v>
      </x:c>
      <x:c r="D77" s="18" t="str">
        <x:v>ใช้รถเข็นถ้าต้องเคลื่อนย้ายปุ๋ยไกล และหมั่นเปลี่ยนท่าทางทุก 30 นาที</x:v>
      </x:c>
      <x:c r="E77" s="18" t="str">
        <x:v>Use a cart when fertilizer must be moved over a long distance, and change posture every 30 minutes.</x:v>
      </x:c>
      <x:c r="F77" s="15" t="str">
        <x:v>direct</x:v>
      </x:c>
      <x:c r="G77" s="15" t="str">
        <x:v>pass</x:v>
      </x:c>
      <x:c r="H77" s="15" t="str">
        <x:v>pass</x:v>
      </x:c>
      <x:c r="I77" s="15" t="str">
        <x:v>pending_human_review</x:v>
      </x:c>
      <x:c r="J77" s="15" t="str">
        <x:v>pending_human_review</x:v>
      </x:c>
      <x:c r="K77" s="15" t="str">
        <x:v>pending_human_review</x:v>
      </x:c>
      <x:c r="L77" s="15" t="str">
        <x:v>pending_human_review</x:v>
      </x:c>
      <x:c r="M77" s="18" t="str"/>
      <x:c r="N77" s="15" t="str">
        <x:v>pending</x:v>
      </x:c>
      <x:c r="O77" s="15" t="str"/>
      <x:c r="P77" s="15" t="str"/>
      <x:c r="Q77" s="15" t="str">
        <x:v>1</x:v>
      </x:c>
      <x:c r="R77" s="15" t="str">
        <x:v>app_recommendations_v3</x:v>
      </x:c>
      <x:c r="S77" s="15" t="str">
        <x:v>2</x:v>
      </x:c>
    </x:row>
    <x:row r="78" ht="48" customHeight="1">
      <x:c r="A78" s="15" t="str">
        <x:v>act_fert_ref_medium.01</x:v>
      </x:c>
      <x:c r="B78" s="15" t="str">
        <x:v>act_fert_ref_medium</x:v>
      </x:c>
      <x:c r="C78" s="15" t="str">
        <x:v>recommendation</x:v>
      </x:c>
      <x:c r="D78" s="18" t="str">
        <x:v>แบ่งปุ๋ยใส่ภาชนะเล็ก</x:v>
      </x:c>
      <x:c r="E78" s="18" t="str">
        <x:v>Split fertilizer into smaller containers.</x:v>
      </x:c>
      <x:c r="F78" s="15" t="str">
        <x:v>direct</x:v>
      </x:c>
      <x:c r="G78" s="15" t="str">
        <x:v>pass</x:v>
      </x:c>
      <x:c r="H78" s="15" t="str">
        <x:v>not_applicable</x:v>
      </x:c>
      <x:c r="I78" s="15" t="str">
        <x:v>pending_human_review</x:v>
      </x:c>
      <x:c r="J78" s="15" t="str">
        <x:v>pending_human_review</x:v>
      </x:c>
      <x:c r="K78" s="15" t="str">
        <x:v>pending_human_review</x:v>
      </x:c>
      <x:c r="L78" s="15" t="str">
        <x:v>pending_human_review</x:v>
      </x:c>
      <x:c r="M78" s="18" t="str"/>
      <x:c r="N78" s="15" t="str">
        <x:v>pending</x:v>
      </x:c>
      <x:c r="O78" s="15" t="str"/>
      <x:c r="P78" s="15" t="str"/>
      <x:c r="Q78" s="15" t="str">
        <x:v>1</x:v>
      </x:c>
      <x:c r="R78" s="15" t="str">
        <x:v>app_recommendations_v3</x:v>
      </x:c>
      <x:c r="S78" s="15" t="str">
        <x:v>2</x:v>
      </x:c>
    </x:row>
    <x:row r="79" ht="48" customHeight="1">
      <x:c r="A79" s="15" t="str">
        <x:v>act_fert_ref_medium.02</x:v>
      </x:c>
      <x:c r="B79" s="15" t="str">
        <x:v>act_fert_ref_medium</x:v>
      </x:c>
      <x:c r="C79" s="15" t="str">
        <x:v>recommendation</x:v>
      </x:c>
      <x:c r="D79" s="18" t="str">
        <x:v>ใช้รถเข็น</x:v>
      </x:c>
      <x:c r="E79" s="18" t="str">
        <x:v>Use a cart.</x:v>
      </x:c>
      <x:c r="F79" s="15" t="str">
        <x:v>direct</x:v>
      </x:c>
      <x:c r="G79" s="15" t="str">
        <x:v>pass</x:v>
      </x:c>
      <x:c r="H79" s="15" t="str">
        <x:v>not_applicable</x:v>
      </x:c>
      <x:c r="I79" s="15" t="str">
        <x:v>pending_human_review</x:v>
      </x:c>
      <x:c r="J79" s="15" t="str">
        <x:v>pending_human_review</x:v>
      </x:c>
      <x:c r="K79" s="15" t="str">
        <x:v>pending_human_review</x:v>
      </x:c>
      <x:c r="L79" s="15" t="str">
        <x:v>pending_human_review</x:v>
      </x:c>
      <x:c r="M79" s="18" t="str"/>
      <x:c r="N79" s="15" t="str">
        <x:v>pending</x:v>
      </x:c>
      <x:c r="O79" s="15" t="str"/>
      <x:c r="P79" s="15" t="str"/>
      <x:c r="Q79" s="15" t="str">
        <x:v>1</x:v>
      </x:c>
      <x:c r="R79" s="15" t="str">
        <x:v>app_recommendations_v3</x:v>
      </x:c>
      <x:c r="S79" s="15" t="str">
        <x:v>2</x:v>
      </x:c>
    </x:row>
    <x:row r="80" ht="48" customHeight="1">
      <x:c r="A80" s="15" t="str">
        <x:v>act_fert_ref_medium.03</x:v>
      </x:c>
      <x:c r="B80" s="15" t="str">
        <x:v>act_fert_ref_medium</x:v>
      </x:c>
      <x:c r="C80" s="15" t="str">
        <x:v>recommendation</x:v>
      </x:c>
      <x:c r="D80" s="18" t="str">
        <x:v>หลีกเลี่ยงการบิดตัวขณะยก และใส่รองเท้ากันลื่น</x:v>
      </x:c>
      <x:c r="E80" s="18" t="str">
        <x:v>Avoid twisting while lifting and wear non-slip footwear.</x:v>
      </x:c>
      <x:c r="F80" s="15" t="str">
        <x:v>direct</x:v>
      </x:c>
      <x:c r="G80" s="15" t="str">
        <x:v>pass</x:v>
      </x:c>
      <x:c r="H80" s="15" t="str">
        <x:v>not_applicable</x:v>
      </x:c>
      <x:c r="I80" s="15" t="str">
        <x:v>pending_human_review</x:v>
      </x:c>
      <x:c r="J80" s="15" t="str">
        <x:v>pending_human_review</x:v>
      </x:c>
      <x:c r="K80" s="15" t="str">
        <x:v>pending_human_review</x:v>
      </x:c>
      <x:c r="L80" s="15" t="str">
        <x:v>pending_human_review</x:v>
      </x:c>
      <x:c r="M80" s="18" t="str"/>
      <x:c r="N80" s="15" t="str">
        <x:v>pending</x:v>
      </x:c>
      <x:c r="O80" s="15" t="str"/>
      <x:c r="P80" s="15" t="str"/>
      <x:c r="Q80" s="15" t="str">
        <x:v>1</x:v>
      </x:c>
      <x:c r="R80" s="15" t="str">
        <x:v>app_recommendations_v3</x:v>
      </x:c>
      <x:c r="S80" s="15" t="str">
        <x:v>2</x:v>
      </x:c>
    </x:row>
    <x:row r="81" ht="48" customHeight="1">
      <x:c r="A81" s="15" t="str">
        <x:v>act_fert_split_load.01</x:v>
      </x:c>
      <x:c r="B81" s="15" t="str">
        <x:v>act_fert_split_load</x:v>
      </x:c>
      <x:c r="C81" s="15" t="str">
        <x:v>recommendation</x:v>
      </x:c>
      <x:c r="D81" s="18" t="str">
        <x:v>แบ่งปุ๋ยเป็นน้ำหนักน้อยลงในแต่ละรอบ</x:v>
      </x:c>
      <x:c r="E81" s="18" t="str">
        <x:v>Split fertilizer into smaller loads per round.</x:v>
      </x:c>
      <x:c r="F81" s="15" t="str">
        <x:v>direct</x:v>
      </x:c>
      <x:c r="G81" s="15" t="str">
        <x:v>pass</x:v>
      </x:c>
      <x:c r="H81" s="15" t="str">
        <x:v>not_applicable</x:v>
      </x:c>
      <x:c r="I81" s="15" t="str">
        <x:v>pending_human_review</x:v>
      </x:c>
      <x:c r="J81" s="15" t="str">
        <x:v>pending_human_review</x:v>
      </x:c>
      <x:c r="K81" s="15" t="str">
        <x:v>pending_human_review</x:v>
      </x:c>
      <x:c r="L81" s="15" t="str">
        <x:v>pending_human_review</x:v>
      </x:c>
      <x:c r="M81" s="18" t="str"/>
      <x:c r="N81" s="15" t="str">
        <x:v>pending</x:v>
      </x:c>
      <x:c r="O81" s="15" t="str"/>
      <x:c r="P81" s="15" t="str"/>
      <x:c r="Q81" s="15" t="str">
        <x:v>1</x:v>
      </x:c>
      <x:c r="R81" s="15" t="str">
        <x:v>app_recommendations_v3</x:v>
      </x:c>
      <x:c r="S81" s="15" t="str">
        <x:v>2</x:v>
      </x:c>
    </x:row>
    <x:row r="82" ht="48" customHeight="1">
      <x:c r="A82" s="15" t="str">
        <x:v>act_harvest_empty_often.01</x:v>
      </x:c>
      <x:c r="B82" s="15" t="str">
        <x:v>act_harvest_empty_often</x:v>
      </x:c>
      <x:c r="C82" s="15" t="str">
        <x:v>recommendation</x:v>
      </x:c>
      <x:c r="D82" s="18" t="str">
        <x:v>ลดการก้มโดยปรับความสูงตะกร้า</x:v>
      </x:c>
      <x:c r="E82" s="18" t="str">
        <x:v>Raise the basket to reduce bending.</x:v>
      </x:c>
      <x:c r="F82" s="15" t="str">
        <x:v>direct</x:v>
      </x:c>
      <x:c r="G82" s="15" t="str">
        <x:v>pass</x:v>
      </x:c>
      <x:c r="H82" s="15" t="str">
        <x:v>not_applicable</x:v>
      </x:c>
      <x:c r="I82" s="15" t="str">
        <x:v>pending_human_review</x:v>
      </x:c>
      <x:c r="J82" s="15" t="str">
        <x:v>pending_human_review</x:v>
      </x:c>
      <x:c r="K82" s="15" t="str">
        <x:v>pending_human_review</x:v>
      </x:c>
      <x:c r="L82" s="15" t="str">
        <x:v>pending_human_review</x:v>
      </x:c>
      <x:c r="M82" s="18" t="str"/>
      <x:c r="N82" s="15" t="str">
        <x:v>pending</x:v>
      </x:c>
      <x:c r="O82" s="15" t="str"/>
      <x:c r="P82" s="15" t="str"/>
      <x:c r="Q82" s="15" t="str">
        <x:v>1</x:v>
      </x:c>
      <x:c r="R82" s="15" t="str">
        <x:v>app_recommendations_v3</x:v>
      </x:c>
      <x:c r="S82" s="15" t="str">
        <x:v>2</x:v>
      </x:c>
    </x:row>
    <x:row r="83" ht="48" customHeight="1">
      <x:c r="A83" s="15" t="str">
        <x:v>act_harvest_move_closer.01</x:v>
      </x:c>
      <x:c r="B83" s="15" t="str">
        <x:v>act_harvest_move_closer</x:v>
      </x:c>
      <x:c r="C83" s="15" t="str">
        <x:v>recommendation</x:v>
      </x:c>
      <x:c r="D83" s="18" t="str">
        <x:v>ขยับเข้าใกล้ต้นก่อนเก็บ เพื่อลดการเอื้อมไกล</x:v>
      </x:c>
      <x:c r="E83" s="18" t="str">
        <x:v>Move closer to the plant before picking instead of overreaching.</x:v>
      </x:c>
      <x:c r="F83" s="15" t="str">
        <x:v>direct</x:v>
      </x:c>
      <x:c r="G83" s="15" t="str">
        <x:v>pass</x:v>
      </x:c>
      <x:c r="H83" s="15" t="str">
        <x:v>not_applicable</x:v>
      </x:c>
      <x:c r="I83" s="15" t="str">
        <x:v>pending_human_review</x:v>
      </x:c>
      <x:c r="J83" s="15" t="str">
        <x:v>pending_human_review</x:v>
      </x:c>
      <x:c r="K83" s="15" t="str">
        <x:v>pending_human_review</x:v>
      </x:c>
      <x:c r="L83" s="15" t="str">
        <x:v>pending_human_review</x:v>
      </x:c>
      <x:c r="M83" s="18" t="str"/>
      <x:c r="N83" s="15" t="str">
        <x:v>pending</x:v>
      </x:c>
      <x:c r="O83" s="15" t="str"/>
      <x:c r="P83" s="15" t="str"/>
      <x:c r="Q83" s="15" t="str">
        <x:v>1</x:v>
      </x:c>
      <x:c r="R83" s="15" t="str">
        <x:v>body_map_recommendations</x:v>
      </x:c>
      <x:c r="S83" s="15" t="str">
        <x:v>4</x:v>
      </x:c>
    </x:row>
    <x:row r="84" ht="48" customHeight="1">
      <x:c r="A84" s="15" t="str">
        <x:v>act_harvest_ref_high.01</x:v>
      </x:c>
      <x:c r="B84" s="15" t="str">
        <x:v>act_harvest_ref_high</x:v>
      </x:c>
      <x:c r="C84" s="15" t="str">
        <x:v>recommendation</x:v>
      </x:c>
      <x:c r="D84" s="18" t="str">
        <x:v>ถ้าเก็บผลจากกิ่งสูงต้องใช้บันได</x:v>
      </x:c>
      <x:c r="E84" s="18" t="str">
        <x:v>Use a ladder for high branches.</x:v>
      </x:c>
      <x:c r="F84" s="15" t="str">
        <x:v>direct</x:v>
      </x:c>
      <x:c r="G84" s="15" t="str">
        <x:v>pass</x:v>
      </x:c>
      <x:c r="H84" s="15" t="str">
        <x:v>not_applicable</x:v>
      </x:c>
      <x:c r="I84" s="15" t="str">
        <x:v>pending_human_review</x:v>
      </x:c>
      <x:c r="J84" s="15" t="str">
        <x:v>pending_human_review</x:v>
      </x:c>
      <x:c r="K84" s="15" t="str">
        <x:v>pending_human_review</x:v>
      </x:c>
      <x:c r="L84" s="15" t="str">
        <x:v>pending_human_review</x:v>
      </x:c>
      <x:c r="M84" s="18" t="str"/>
      <x:c r="N84" s="15" t="str">
        <x:v>pending</x:v>
      </x:c>
      <x:c r="O84" s="15" t="str"/>
      <x:c r="P84" s="15" t="str"/>
      <x:c r="Q84" s="15" t="str">
        <x:v>1</x:v>
      </x:c>
      <x:c r="R84" s="15" t="str">
        <x:v>app_recommendations_v3</x:v>
      </x:c>
      <x:c r="S84" s="15" t="str">
        <x:v>2</x:v>
      </x:c>
    </x:row>
    <x:row r="85" ht="48" customHeight="1">
      <x:c r="A85" s="15" t="str">
        <x:v>act_harvest_ref_high.02</x:v>
      </x:c>
      <x:c r="B85" s="15" t="str">
        <x:v>act_harvest_ref_high</x:v>
      </x:c>
      <x:c r="C85" s="15" t="str">
        <x:v>recommendation</x:v>
      </x:c>
      <x:c r="D85" s="18" t="str">
        <x:v>หลีกเลี่ยงการปีน</x:v>
      </x:c>
      <x:c r="E85" s="18" t="str">
        <x:v>Avoid climbing.</x:v>
      </x:c>
      <x:c r="F85" s="15" t="str">
        <x:v>direct</x:v>
      </x:c>
      <x:c r="G85" s="15" t="str">
        <x:v>pass</x:v>
      </x:c>
      <x:c r="H85" s="15" t="str">
        <x:v>not_applicable</x:v>
      </x:c>
      <x:c r="I85" s="15" t="str">
        <x:v>pending_human_review</x:v>
      </x:c>
      <x:c r="J85" s="15" t="str">
        <x:v>pending_human_review</x:v>
      </x:c>
      <x:c r="K85" s="15" t="str">
        <x:v>pending_human_review</x:v>
      </x:c>
      <x:c r="L85" s="15" t="str">
        <x:v>pending_human_review</x:v>
      </x:c>
      <x:c r="M85" s="18" t="str"/>
      <x:c r="N85" s="15" t="str">
        <x:v>pending</x:v>
      </x:c>
      <x:c r="O85" s="15" t="str"/>
      <x:c r="P85" s="15" t="str"/>
      <x:c r="Q85" s="15" t="str">
        <x:v>1</x:v>
      </x:c>
      <x:c r="R85" s="15" t="str">
        <x:v>app_recommendations_v3</x:v>
      </x:c>
      <x:c r="S85" s="15" t="str">
        <x:v>2</x:v>
      </x:c>
    </x:row>
    <x:row r="86" ht="48" customHeight="1">
      <x:c r="A86" s="15" t="str">
        <x:v>act_harvest_ref_high.03</x:v>
      </x:c>
      <x:c r="B86" s="15" t="str">
        <x:v>act_harvest_ref_high</x:v>
      </x:c>
      <x:c r="C86" s="15" t="str">
        <x:v>recommendation</x:v>
      </x:c>
      <x:c r="D86" s="18" t="str">
        <x:v>หยุดพัก 10 นาทีทุก 20 นาที</x:v>
      </x:c>
      <x:c r="E86" s="18" t="str">
        <x:v>Rest 10 minutes every 20 minutes.</x:v>
      </x:c>
      <x:c r="F86" s="15" t="str">
        <x:v>direct</x:v>
      </x:c>
      <x:c r="G86" s="15" t="str">
        <x:v>pass</x:v>
      </x:c>
      <x:c r="H86" s="15" t="str">
        <x:v>pass</x:v>
      </x:c>
      <x:c r="I86" s="15" t="str">
        <x:v>pending_human_review</x:v>
      </x:c>
      <x:c r="J86" s="15" t="str">
        <x:v>pending_human_review</x:v>
      </x:c>
      <x:c r="K86" s="15" t="str">
        <x:v>pending_human_review</x:v>
      </x:c>
      <x:c r="L86" s="15" t="str">
        <x:v>pending_human_review</x:v>
      </x:c>
      <x:c r="M86" s="18" t="str"/>
      <x:c r="N86" s="15" t="str">
        <x:v>pending</x:v>
      </x:c>
      <x:c r="O86" s="15" t="str"/>
      <x:c r="P86" s="15" t="str"/>
      <x:c r="Q86" s="15" t="str">
        <x:v>1</x:v>
      </x:c>
      <x:c r="R86" s="15" t="str">
        <x:v>app_recommendations_v3</x:v>
      </x:c>
      <x:c r="S86" s="15" t="str">
        <x:v>2</x:v>
      </x:c>
    </x:row>
    <x:row r="87" ht="48" customHeight="1">
      <x:c r="A87" s="15" t="str">
        <x:v>act_harvest_ref_high.04</x:v>
      </x:c>
      <x:c r="B87" s="15" t="str">
        <x:v>act_harvest_ref_high</x:v>
      </x:c>
      <x:c r="C87" s="15" t="str">
        <x:v>recommendation</x:v>
      </x:c>
      <x:c r="D87" s="18" t="str">
        <x:v>ถ้ามีอาการปวดมือหรือหลังให้หยุดงานทันที</x:v>
      </x:c>
      <x:c r="E87" s="18" t="str">
        <x:v>Stop immediately if hand or back pain occurs.</x:v>
      </x:c>
      <x:c r="F87" s="15" t="str">
        <x:v>direct</x:v>
      </x:c>
      <x:c r="G87" s="15" t="str">
        <x:v>pass</x:v>
      </x:c>
      <x:c r="H87" s="15" t="str">
        <x:v>not_applicable</x:v>
      </x:c>
      <x:c r="I87" s="15" t="str">
        <x:v>pending_human_review</x:v>
      </x:c>
      <x:c r="J87" s="15" t="str">
        <x:v>pending_human_review</x:v>
      </x:c>
      <x:c r="K87" s="15" t="str">
        <x:v>pending_human_review</x:v>
      </x:c>
      <x:c r="L87" s="15" t="str">
        <x:v>pending_human_review</x:v>
      </x:c>
      <x:c r="M87" s="18" t="str"/>
      <x:c r="N87" s="15" t="str">
        <x:v>pending</x:v>
      </x:c>
      <x:c r="O87" s="15" t="str"/>
      <x:c r="P87" s="15" t="str"/>
      <x:c r="Q87" s="15" t="str">
        <x:v>1</x:v>
      </x:c>
      <x:c r="R87" s="15" t="str">
        <x:v>app_recommendations_v3</x:v>
      </x:c>
      <x:c r="S87" s="15" t="str">
        <x:v>2</x:v>
      </x:c>
    </x:row>
    <x:row r="88" ht="48" customHeight="1">
      <x:c r="A88" s="15" t="str">
        <x:v>act_harvest_ref_low.01</x:v>
      </x:c>
      <x:c r="B88" s="15" t="str">
        <x:v>act_harvest_ref_low</x:v>
      </x:c>
      <x:c r="C88" s="15" t="str">
        <x:v>recommendation</x:v>
      </x:c>
      <x:c r="D88" s="18" t="str">
        <x:v>เปลี่ยนท่า ยืน-นั่งยอง ทุก 20 นาที</x:v>
      </x:c>
      <x:c r="E88" s="18" t="str">
        <x:v>Alternate between standing and squatting every 20 minutes.</x:v>
      </x:c>
      <x:c r="F88" s="15" t="str">
        <x:v>direct</x:v>
      </x:c>
      <x:c r="G88" s="15" t="str">
        <x:v>pass</x:v>
      </x:c>
      <x:c r="H88" s="15" t="str">
        <x:v>pass</x:v>
      </x:c>
      <x:c r="I88" s="15" t="str">
        <x:v>pending_human_review</x:v>
      </x:c>
      <x:c r="J88" s="15" t="str">
        <x:v>pending_human_review</x:v>
      </x:c>
      <x:c r="K88" s="15" t="str">
        <x:v>pending_human_review</x:v>
      </x:c>
      <x:c r="L88" s="15" t="str">
        <x:v>pending_human_review</x:v>
      </x:c>
      <x:c r="M88" s="18" t="str"/>
      <x:c r="N88" s="15" t="str">
        <x:v>pending</x:v>
      </x:c>
      <x:c r="O88" s="15" t="str"/>
      <x:c r="P88" s="15" t="str"/>
      <x:c r="Q88" s="15" t="str">
        <x:v>1</x:v>
      </x:c>
      <x:c r="R88" s="15" t="str">
        <x:v>app_recommendations_v3</x:v>
      </x:c>
      <x:c r="S88" s="15" t="str">
        <x:v>2</x:v>
      </x:c>
    </x:row>
    <x:row r="89" ht="48" customHeight="1">
      <x:c r="A89" s="15" t="str">
        <x:v>act_harvest_ref_low.02</x:v>
      </x:c>
      <x:c r="B89" s="15" t="str">
        <x:v>act_harvest_ref_low</x:v>
      </x:c>
      <x:c r="C89" s="15" t="str">
        <x:v>recommendation</x:v>
      </x:c>
      <x:c r="D89" s="18" t="str">
        <x:v>ใช้ถุงมือนุ่ม และตั้งตะกร้าบนแท่นสูง</x:v>
      </x:c>
      <x:c r="E89" s="18" t="str">
        <x:v>Use soft gloves and place the basket on a raised stand.</x:v>
      </x:c>
      <x:c r="F89" s="15" t="str">
        <x:v>direct</x:v>
      </x:c>
      <x:c r="G89" s="15" t="str">
        <x:v>pass</x:v>
      </x:c>
      <x:c r="H89" s="15" t="str">
        <x:v>not_applicable</x:v>
      </x:c>
      <x:c r="I89" s="15" t="str">
        <x:v>pending_human_review</x:v>
      </x:c>
      <x:c r="J89" s="15" t="str">
        <x:v>pending_human_review</x:v>
      </x:c>
      <x:c r="K89" s="15" t="str">
        <x:v>pending_human_review</x:v>
      </x:c>
      <x:c r="L89" s="15" t="str">
        <x:v>pending_human_review</x:v>
      </x:c>
      <x:c r="M89" s="18" t="str"/>
      <x:c r="N89" s="15" t="str">
        <x:v>pending</x:v>
      </x:c>
      <x:c r="O89" s="15" t="str"/>
      <x:c r="P89" s="15" t="str"/>
      <x:c r="Q89" s="15" t="str">
        <x:v>1</x:v>
      </x:c>
      <x:c r="R89" s="15" t="str">
        <x:v>app_recommendations_v3</x:v>
      </x:c>
      <x:c r="S89" s="15" t="str">
        <x:v>2</x:v>
      </x:c>
    </x:row>
    <x:row r="90" ht="48" customHeight="1">
      <x:c r="A90" s="15" t="str">
        <x:v>act_harvest_ref_medium.01</x:v>
      </x:c>
      <x:c r="B90" s="15" t="str">
        <x:v>act_harvest_ref_medium</x:v>
      </x:c>
      <x:c r="C90" s="15" t="str">
        <x:v>recommendation</x:v>
      </x:c>
      <x:c r="D90" s="18" t="str">
        <x:v>ใช้ถุงมือลดแรงกด</x:v>
      </x:c>
      <x:c r="E90" s="18" t="str">
        <x:v>Use padded gloves.</x:v>
      </x:c>
      <x:c r="F90" s="15" t="str">
        <x:v>direct</x:v>
      </x:c>
      <x:c r="G90" s="15" t="str">
        <x:v>pass</x:v>
      </x:c>
      <x:c r="H90" s="15" t="str">
        <x:v>not_applicable</x:v>
      </x:c>
      <x:c r="I90" s="15" t="str">
        <x:v>pending_human_review</x:v>
      </x:c>
      <x:c r="J90" s="15" t="str">
        <x:v>pending_human_review</x:v>
      </x:c>
      <x:c r="K90" s="15" t="str">
        <x:v>pending_human_review</x:v>
      </x:c>
      <x:c r="L90" s="15" t="str">
        <x:v>pending_human_review</x:v>
      </x:c>
      <x:c r="M90" s="18" t="str"/>
      <x:c r="N90" s="15" t="str">
        <x:v>pending</x:v>
      </x:c>
      <x:c r="O90" s="15" t="str"/>
      <x:c r="P90" s="15" t="str"/>
      <x:c r="Q90" s="15" t="str">
        <x:v>1</x:v>
      </x:c>
      <x:c r="R90" s="15" t="str">
        <x:v>app_recommendations_v3</x:v>
      </x:c>
      <x:c r="S90" s="15" t="str">
        <x:v>2</x:v>
      </x:c>
    </x:row>
    <x:row r="91" ht="48" customHeight="1">
      <x:c r="A91" s="15" t="str">
        <x:v>act_harvest_ref_medium.02</x:v>
      </x:c>
      <x:c r="B91" s="15" t="str">
        <x:v>act_harvest_ref_medium</x:v>
      </x:c>
      <x:c r="C91" s="15" t="str">
        <x:v>recommendation</x:v>
      </x:c>
      <x:c r="D91" s="18" t="str">
        <x:v>ลดการก้มโดยปรับความสูงตะกร้า</x:v>
      </x:c>
      <x:c r="E91" s="18" t="str">
        <x:v>Reduce bending by raising the basket.</x:v>
      </x:c>
      <x:c r="F91" s="15" t="str">
        <x:v>direct</x:v>
      </x:c>
      <x:c r="G91" s="15" t="str">
        <x:v>pass</x:v>
      </x:c>
      <x:c r="H91" s="15" t="str">
        <x:v>not_applicable</x:v>
      </x:c>
      <x:c r="I91" s="15" t="str">
        <x:v>pending_human_review</x:v>
      </x:c>
      <x:c r="J91" s="15" t="str">
        <x:v>pending_human_review</x:v>
      </x:c>
      <x:c r="K91" s="15" t="str">
        <x:v>pending_human_review</x:v>
      </x:c>
      <x:c r="L91" s="15" t="str">
        <x:v>pending_human_review</x:v>
      </x:c>
      <x:c r="M91" s="18" t="str"/>
      <x:c r="N91" s="15" t="str">
        <x:v>pending</x:v>
      </x:c>
      <x:c r="O91" s="15" t="str"/>
      <x:c r="P91" s="15" t="str"/>
      <x:c r="Q91" s="15" t="str">
        <x:v>1</x:v>
      </x:c>
      <x:c r="R91" s="15" t="str">
        <x:v>app_recommendations_v3</x:v>
      </x:c>
      <x:c r="S91" s="15" t="str">
        <x:v>2</x:v>
      </x:c>
    </x:row>
    <x:row r="92" ht="48" customHeight="1">
      <x:c r="A92" s="15" t="str">
        <x:v>act_harvest_ref_medium.03</x:v>
      </x:c>
      <x:c r="B92" s="15" t="str">
        <x:v>act_harvest_ref_medium</x:v>
      </x:c>
      <x:c r="C92" s="15" t="str">
        <x:v>recommendation</x:v>
      </x:c>
      <x:c r="D92" s="18" t="str">
        <x:v>พัก 5 นาทีทุก 30 นาที</x:v>
      </x:c>
      <x:c r="E92" s="18" t="str">
        <x:v>Rest 5 minutes every 30 minutes.</x:v>
      </x:c>
      <x:c r="F92" s="15" t="str">
        <x:v>direct</x:v>
      </x:c>
      <x:c r="G92" s="15" t="str">
        <x:v>pass</x:v>
      </x:c>
      <x:c r="H92" s="15" t="str">
        <x:v>pass</x:v>
      </x:c>
      <x:c r="I92" s="15" t="str">
        <x:v>pending_human_review</x:v>
      </x:c>
      <x:c r="J92" s="15" t="str">
        <x:v>pending_human_review</x:v>
      </x:c>
      <x:c r="K92" s="15" t="str">
        <x:v>pending_human_review</x:v>
      </x:c>
      <x:c r="L92" s="15" t="str">
        <x:v>pending_human_review</x:v>
      </x:c>
      <x:c r="M92" s="18" t="str"/>
      <x:c r="N92" s="15" t="str">
        <x:v>pending</x:v>
      </x:c>
      <x:c r="O92" s="15" t="str"/>
      <x:c r="P92" s="15" t="str"/>
      <x:c r="Q92" s="15" t="str">
        <x:v>1</x:v>
      </x:c>
      <x:c r="R92" s="15" t="str">
        <x:v>app_recommendations_v3</x:v>
      </x:c>
      <x:c r="S92" s="15" t="str">
        <x:v>2</x:v>
      </x:c>
    </x:row>
    <x:row r="93" ht="48" customHeight="1">
      <x:c r="A93" s="15" t="str">
        <x:v>act_harvest_ref_medium.04</x:v>
      </x:c>
      <x:c r="B93" s="15" t="str">
        <x:v>act_harvest_ref_medium</x:v>
      </x:c>
      <x:c r="C93" s="15" t="str">
        <x:v>recommendation</x:v>
      </x:c>
      <x:c r="D93" s="18" t="str">
        <x:v>สังเกตอาการชาที่มือ</x:v>
      </x:c>
      <x:c r="E93" s="18" t="str">
        <x:v>Watch for hand numbness.</x:v>
      </x:c>
      <x:c r="F93" s="15" t="str">
        <x:v>direct</x:v>
      </x:c>
      <x:c r="G93" s="15" t="str">
        <x:v>pass</x:v>
      </x:c>
      <x:c r="H93" s="15" t="str">
        <x:v>not_applicable</x:v>
      </x:c>
      <x:c r="I93" s="15" t="str">
        <x:v>pending_human_review</x:v>
      </x:c>
      <x:c r="J93" s="15" t="str">
        <x:v>pending_human_review</x:v>
      </x:c>
      <x:c r="K93" s="15" t="str">
        <x:v>pending_human_review</x:v>
      </x:c>
      <x:c r="L93" s="15" t="str">
        <x:v>pending_human_review</x:v>
      </x:c>
      <x:c r="M93" s="18" t="str"/>
      <x:c r="N93" s="15" t="str">
        <x:v>pending</x:v>
      </x:c>
      <x:c r="O93" s="15" t="str"/>
      <x:c r="P93" s="15" t="str"/>
      <x:c r="Q93" s="15" t="str">
        <x:v>1</x:v>
      </x:c>
      <x:c r="R93" s="15" t="str">
        <x:v>app_recommendations_v3</x:v>
      </x:c>
      <x:c r="S93" s="15" t="str">
        <x:v>2</x:v>
      </x:c>
    </x:row>
    <x:row r="94" ht="48" customHeight="1">
      <x:c r="A94" s="15" t="str">
        <x:v>act_iso_floor_level.01</x:v>
      </x:c>
      <x:c r="B94" s="15" t="str">
        <x:v>act_iso_floor_level</x:v>
      </x:c>
      <x:c r="C94" s="15" t="str">
        <x:v>recommendation</x:v>
      </x:c>
      <x:c r="D94" s="18" t="str">
        <x:v>จัดพื้นทางเดินให้เรียบ แห้ง ไม่ลื่น และไม่มีสิ่งกีดขวาง</x:v>
      </x:c>
      <x:c r="E94" s="18" t="str">
        <x:v>Keep the transport surface level, dry, non-slip, and clear of obstacles.</x:v>
      </x:c>
      <x:c r="F94" s="15" t="str">
        <x:v>direct</x:v>
      </x:c>
      <x:c r="G94" s="15" t="str">
        <x:v>pass</x:v>
      </x:c>
      <x:c r="H94" s="15" t="str">
        <x:v>not_applicable</x:v>
      </x:c>
      <x:c r="I94" s="15" t="str">
        <x:v>pending_human_review</x:v>
      </x:c>
      <x:c r="J94" s="15" t="str">
        <x:v>pending_human_review</x:v>
      </x:c>
      <x:c r="K94" s="15" t="str">
        <x:v>pending_human_review</x:v>
      </x:c>
      <x:c r="L94" s="15" t="str">
        <x:v>pending_human_review</x:v>
      </x:c>
      <x:c r="M94" s="18" t="str"/>
      <x:c r="N94" s="15" t="str">
        <x:v>pending</x:v>
      </x:c>
      <x:c r="O94" s="15" t="str"/>
      <x:c r="P94" s="15" t="str"/>
      <x:c r="Q94" s="15" t="str">
        <x:v>1</x:v>
      </x:c>
      <x:c r="R94" s="15" t="str">
        <x:v>ilo_ergonomic_checkpoints_agriculture</x:v>
      </x:c>
      <x:c r="S94" s="15" t="str">
        <x:v>29,31</x:v>
      </x:c>
    </x:row>
    <x:row r="95" ht="48" customHeight="1">
      <x:c r="A95" s="15" t="str">
        <x:v>act_iso_improve_grip.01</x:v>
      </x:c>
      <x:c r="B95" s="15" t="str">
        <x:v>act_iso_improve_grip</x:v>
      </x:c>
      <x:c r="C95" s="15" t="str">
        <x:v>recommendation</x:v>
      </x:c>
      <x:c r="D95" s="18" t="str">
        <x:v>ใช้ภาชนะหรือด้ามจับที่จับได้ถนัดและมั่นคง</x:v>
      </x:c>
      <x:c r="E95" s="18" t="str">
        <x:v>Use containers or handles that are easy to grip securely.</x:v>
      </x:c>
      <x:c r="F95" s="15" t="str">
        <x:v>direct</x:v>
      </x:c>
      <x:c r="G95" s="15" t="str">
        <x:v>pass</x:v>
      </x:c>
      <x:c r="H95" s="15" t="str">
        <x:v>not_applicable</x:v>
      </x:c>
      <x:c r="I95" s="15" t="str">
        <x:v>pending_human_review</x:v>
      </x:c>
      <x:c r="J95" s="15" t="str">
        <x:v>pending_human_review</x:v>
      </x:c>
      <x:c r="K95" s="15" t="str">
        <x:v>pending_human_review</x:v>
      </x:c>
      <x:c r="L95" s="15" t="str">
        <x:v>pending_human_review</x:v>
      </x:c>
      <x:c r="M95" s="18" t="str"/>
      <x:c r="N95" s="15" t="str">
        <x:v>pending</x:v>
      </x:c>
      <x:c r="O95" s="15" t="str"/>
      <x:c r="P95" s="15" t="str"/>
      <x:c r="Q95" s="15" t="str">
        <x:v>1</x:v>
      </x:c>
      <x:c r="R95" s="15" t="str">
        <x:v>ilo_ergonomic_checkpoints_agriculture</x:v>
      </x:c>
      <x:c r="S95" s="15" t="str">
        <x:v>79</x:v>
      </x:c>
    </x:row>
    <x:row r="96" ht="48" customHeight="1">
      <x:c r="A96" s="15" t="str">
        <x:v>act_iso_job_rotation.01</x:v>
      </x:c>
      <x:c r="B96" s="15" t="str">
        <x:v>act_iso_job_rotation</x:v>
      </x:c>
      <x:c r="C96" s="15" t="str">
        <x:v>recommendation</x:v>
      </x:c>
      <x:c r="D96" s="18" t="str">
        <x:v>สลับงานเพื่อลดการใช้กล้ามเนื้อกลุ่มเดิมต่อเนื่องนานเกินไป</x:v>
      </x:c>
      <x:c r="E96" s="18" t="str">
        <x:v>Rotate tasks so the same muscles are not used continuously.</x:v>
      </x:c>
      <x:c r="F96" s="15" t="str">
        <x:v>direct</x:v>
      </x:c>
      <x:c r="G96" s="15" t="str">
        <x:v>pass</x:v>
      </x:c>
      <x:c r="H96" s="15" t="str">
        <x:v>not_applicable</x:v>
      </x:c>
      <x:c r="I96" s="15" t="str">
        <x:v>pending_human_review</x:v>
      </x:c>
      <x:c r="J96" s="15" t="str">
        <x:v>pending_human_review</x:v>
      </x:c>
      <x:c r="K96" s="15" t="str">
        <x:v>pending_human_review</x:v>
      </x:c>
      <x:c r="L96" s="15" t="str">
        <x:v>pending_human_review</x:v>
      </x:c>
      <x:c r="M96" s="18" t="str"/>
      <x:c r="N96" s="15" t="str">
        <x:v>pending</x:v>
      </x:c>
      <x:c r="O96" s="15" t="str"/>
      <x:c r="P96" s="15" t="str"/>
      <x:c r="Q96" s="15" t="str">
        <x:v>1</x:v>
      </x:c>
      <x:c r="R96" s="15" t="str">
        <x:v>ilo_ergonomic_checkpoints_agriculture</x:v>
      </x:c>
      <x:c r="S96" s="15" t="str">
        <x:v>229</x:v>
      </x:c>
    </x:row>
    <x:row r="97" ht="48" customHeight="1">
      <x:c r="A97" s="15" t="str">
        <x:v>act_iso_keep_load_close.01</x:v>
      </x:c>
      <x:c r="B97" s="15" t="str">
        <x:v>act_iso_keep_load_close</x:v>
      </x:c>
      <x:c r="C97" s="15" t="str">
        <x:v>recommendation</x:v>
      </x:c>
      <x:c r="D97" s="18" t="str">
        <x:v>วางของให้ชิดลำตัวก่อนยกหรือขนย้าย</x:v>
      </x:c>
      <x:c r="E97" s="18" t="str">
        <x:v>Keep the load close to the body before lifting or carrying.</x:v>
      </x:c>
      <x:c r="F97" s="15" t="str">
        <x:v>direct</x:v>
      </x:c>
      <x:c r="G97" s="15" t="str">
        <x:v>pass</x:v>
      </x:c>
      <x:c r="H97" s="15" t="str">
        <x:v>not_applicable</x:v>
      </x:c>
      <x:c r="I97" s="15" t="str">
        <x:v>pending_human_review</x:v>
      </x:c>
      <x:c r="J97" s="15" t="str">
        <x:v>pending_human_review</x:v>
      </x:c>
      <x:c r="K97" s="15" t="str">
        <x:v>pending_human_review</x:v>
      </x:c>
      <x:c r="L97" s="15" t="str">
        <x:v>pending_human_review</x:v>
      </x:c>
      <x:c r="M97" s="18" t="str"/>
      <x:c r="N97" s="15" t="str">
        <x:v>pending</x:v>
      </x:c>
      <x:c r="O97" s="15" t="str"/>
      <x:c r="P97" s="15" t="str"/>
      <x:c r="Q97" s="15" t="str">
        <x:v>1</x:v>
      </x:c>
      <x:c r="R97" s="15" t="str">
        <x:v>ilo_ergonomic_checkpoints_agriculture</x:v>
      </x:c>
      <x:c r="S97" s="15" t="str">
        <x:v>51</x:v>
      </x:c>
    </x:row>
    <x:row r="98" ht="48" customHeight="1">
      <x:c r="A98" s="15" t="str">
        <x:v>act_iso_lift_height.01</x:v>
      </x:c>
      <x:c r="B98" s="15" t="str">
        <x:v>act_iso_lift_height</x:v>
      </x:c>
      <x:c r="C98" s="15" t="str">
        <x:v>recommendation</x:v>
      </x:c>
      <x:c r="D98" s="18" t="str">
        <x:v>จัดของให้อยู่ระดับประมาณข้อนิ้วถึงข้อศอกก่อนยก</x:v>
      </x:c>
      <x:c r="E98" s="18" t="str">
        <x:v>Place the load around knuckle-to-elbow height before lifting.</x:v>
      </x:c>
      <x:c r="F98" s="15" t="str">
        <x:v>direct</x:v>
      </x:c>
      <x:c r="G98" s="15" t="str">
        <x:v>pass</x:v>
      </x:c>
      <x:c r="H98" s="15" t="str">
        <x:v>not_applicable</x:v>
      </x:c>
      <x:c r="I98" s="15" t="str">
        <x:v>pending_human_review</x:v>
      </x:c>
      <x:c r="J98" s="15" t="str">
        <x:v>pending_human_review</x:v>
      </x:c>
      <x:c r="K98" s="15" t="str">
        <x:v>pending_human_review</x:v>
      </x:c>
      <x:c r="L98" s="15" t="str">
        <x:v>pending_human_review</x:v>
      </x:c>
      <x:c r="M98" s="18" t="str"/>
      <x:c r="N98" s="15" t="str">
        <x:v>pending</x:v>
      </x:c>
      <x:c r="O98" s="15" t="str"/>
      <x:c r="P98" s="15" t="str"/>
      <x:c r="Q98" s="15" t="str">
        <x:v>1</x:v>
      </x:c>
      <x:c r="R98" s="15" t="str">
        <x:v>app_recommendations_v3</x:v>
      </x:c>
      <x:c r="S98" s="15" t="str">
        <x:v>4</x:v>
      </x:c>
    </x:row>
    <x:row r="99" ht="48" customHeight="1">
      <x:c r="A99" s="15" t="str">
        <x:v>act_iso_neutral_reach.01</x:v>
      </x:c>
      <x:c r="B99" s="15" t="str">
        <x:v>act_iso_neutral_reach</x:v>
      </x:c>
      <x:c r="C99" s="15" t="str">
        <x:v>recommendation</x:v>
      </x:c>
      <x:c r="D99" s="18" t="str">
        <x:v>ทำงานใกล้ลำตัว</x:v>
      </x:c>
      <x:c r="E99" s="18" t="str">
        <x:v>Keep hands near the body.</x:v>
      </x:c>
      <x:c r="F99" s="15" t="str">
        <x:v>direct</x:v>
      </x:c>
      <x:c r="G99" s="15" t="str">
        <x:v>pass</x:v>
      </x:c>
      <x:c r="H99" s="15" t="str">
        <x:v>not_applicable</x:v>
      </x:c>
      <x:c r="I99" s="15" t="str">
        <x:v>pending_human_review</x:v>
      </x:c>
      <x:c r="J99" s="15" t="str">
        <x:v>pending_human_review</x:v>
      </x:c>
      <x:c r="K99" s="15" t="str">
        <x:v>pending_human_review</x:v>
      </x:c>
      <x:c r="L99" s="15" t="str">
        <x:v>pending_human_review</x:v>
      </x:c>
      <x:c r="M99" s="18" t="str"/>
      <x:c r="N99" s="15" t="str">
        <x:v>pending</x:v>
      </x:c>
      <x:c r="O99" s="15" t="str"/>
      <x:c r="P99" s="15" t="str"/>
      <x:c r="Q99" s="15" t="str">
        <x:v>1</x:v>
      </x:c>
      <x:c r="R99" s="15" t="str">
        <x:v>ilo_ergonomic_checkpoints_agriculture</x:v>
      </x:c>
      <x:c r="S99" s="15" t="str">
        <x:v>51,65</x:v>
      </x:c>
    </x:row>
    <x:row r="100" ht="48" customHeight="1">
      <x:c r="A100" s="15" t="str">
        <x:v>act_iso_neutral_reach.02</x:v>
      </x:c>
      <x:c r="B100" s="15" t="str">
        <x:v>act_iso_neutral_reach</x:v>
      </x:c>
      <x:c r="C100" s="15" t="str">
        <x:v>recommendation</x:v>
      </x:c>
      <x:c r="D100" s="18" t="str">
        <x:v>ลดการเอื้อมไกลหรือขยับข้อไปสุดช่วง</x:v>
      </x:c>
      <x:c r="E100" s="18" t="str">
        <x:v>Avoid extreme reach or joint positions.</x:v>
      </x:c>
      <x:c r="F100" s="15" t="str">
        <x:v>direct</x:v>
      </x:c>
      <x:c r="G100" s="15" t="str">
        <x:v>pass</x:v>
      </x:c>
      <x:c r="H100" s="15" t="str">
        <x:v>not_applicable</x:v>
      </x:c>
      <x:c r="I100" s="15" t="str">
        <x:v>pending_human_review</x:v>
      </x:c>
      <x:c r="J100" s="15" t="str">
        <x:v>pending_human_review</x:v>
      </x:c>
      <x:c r="K100" s="15" t="str">
        <x:v>pending_human_review</x:v>
      </x:c>
      <x:c r="L100" s="15" t="str">
        <x:v>pending_human_review</x:v>
      </x:c>
      <x:c r="M100" s="18" t="str"/>
      <x:c r="N100" s="15" t="str">
        <x:v>pending</x:v>
      </x:c>
      <x:c r="O100" s="15" t="str"/>
      <x:c r="P100" s="15" t="str"/>
      <x:c r="Q100" s="15" t="str">
        <x:v>1</x:v>
      </x:c>
      <x:c r="R100" s="15" t="str">
        <x:v>ilo_ergonomic_checkpoints_agriculture</x:v>
      </x:c>
      <x:c r="S100" s="15" t="str">
        <x:v>51,65</x:v>
      </x:c>
    </x:row>
    <x:row r="101" ht="48" customHeight="1">
      <x:c r="A101" s="15" t="str">
        <x:v>act_iso_plan_recovery.01</x:v>
      </x:c>
      <x:c r="B101" s="15" t="str">
        <x:v>act_iso_plan_recovery</x:v>
      </x:c>
      <x:c r="C101" s="15" t="str">
        <x:v>recommendation</x:v>
      </x:c>
      <x:c r="D101" s="18" t="str">
        <x:v>วางแผนพักสั้น ๆ หรือสลับงานเมื่อต้องทำซ้ำหลายรอบ</x:v>
      </x:c>
      <x:c r="E101" s="18" t="str">
        <x:v>Plan short recovery breaks or rotate tasks during repeated work.</x:v>
      </x:c>
      <x:c r="F101" s="15" t="str">
        <x:v>direct</x:v>
      </x:c>
      <x:c r="G101" s="15" t="str">
        <x:v>pass</x:v>
      </x:c>
      <x:c r="H101" s="15" t="str">
        <x:v>not_applicable</x:v>
      </x:c>
      <x:c r="I101" s="15" t="str">
        <x:v>pending_human_review</x:v>
      </x:c>
      <x:c r="J101" s="15" t="str">
        <x:v>pending_human_review</x:v>
      </x:c>
      <x:c r="K101" s="15" t="str">
        <x:v>pending_human_review</x:v>
      </x:c>
      <x:c r="L101" s="15" t="str">
        <x:v>pending_human_review</x:v>
      </x:c>
      <x:c r="M101" s="18" t="str"/>
      <x:c r="N101" s="15" t="str">
        <x:v>pending</x:v>
      </x:c>
      <x:c r="O101" s="15" t="str"/>
      <x:c r="P101" s="15" t="str"/>
      <x:c r="Q101" s="15" t="str">
        <x:v>1</x:v>
      </x:c>
      <x:c r="R101" s="15" t="str">
        <x:v>ilo_ergonomic_checkpoints_agriculture</x:v>
      </x:c>
      <x:c r="S101" s="15" t="str">
        <x:v>243</x:v>
      </x:c>
    </x:row>
    <x:row r="102" ht="48" customHeight="1">
      <x:c r="A102" s="15" t="str">
        <x:v>act_iso_push_handle_height.01</x:v>
      </x:c>
      <x:c r="B102" s="15" t="str">
        <x:v>act_iso_push_handle_height</x:v>
      </x:c>
      <x:c r="C102" s="15" t="str">
        <x:v>recommendation</x:v>
      </x:c>
      <x:c r="D102" s="18" t="str">
        <x:v>ปรับด้ามจับให้อยู่ใกล้ระดับข้อศอก เพื่อใช้แรงได้มั่นคง</x:v>
      </x:c>
      <x:c r="E102" s="18" t="str">
        <x:v>Adjust handles near elbow height so the body can push steadily.</x:v>
      </x:c>
      <x:c r="F102" s="15" t="str">
        <x:v>direct</x:v>
      </x:c>
      <x:c r="G102" s="15" t="str">
        <x:v>pass</x:v>
      </x:c>
      <x:c r="H102" s="15" t="str">
        <x:v>not_applicable</x:v>
      </x:c>
      <x:c r="I102" s="15" t="str">
        <x:v>pending_human_review</x:v>
      </x:c>
      <x:c r="J102" s="15" t="str">
        <x:v>pending_human_review</x:v>
      </x:c>
      <x:c r="K102" s="15" t="str">
        <x:v>pending_human_review</x:v>
      </x:c>
      <x:c r="L102" s="15" t="str">
        <x:v>pending_human_review</x:v>
      </x:c>
      <x:c r="M102" s="18" t="str"/>
      <x:c r="N102" s="15" t="str">
        <x:v>pending</x:v>
      </x:c>
      <x:c r="O102" s="15" t="str"/>
      <x:c r="P102" s="15" t="str"/>
      <x:c r="Q102" s="15" t="str">
        <x:v>1</x:v>
      </x:c>
      <x:c r="R102" s="15" t="str">
        <x:v>ilo_ergonomic_checkpoints_agriculture</x:v>
      </x:c>
      <x:c r="S102" s="15" t="str">
        <x:v>63</x:v>
      </x:c>
    </x:row>
    <x:row r="103" ht="48" customHeight="1">
      <x:c r="A103" s="15" t="str">
        <x:v>act_iso_push_not_pull.01</x:v>
      </x:c>
      <x:c r="B103" s="15" t="str">
        <x:v>act_iso_push_not_pull</x:v>
      </x:c>
      <x:c r="C103" s="15" t="str">
        <x:v>recommendation</x:v>
      </x:c>
      <x:c r="D103" s="18" t="str">
        <x:v>ถ้าทำได้ให้ดันโดยใช้น้ำหนักตัว แทนการลากด้วยแรงแขน</x:v>
      </x:c>
      <x:c r="E103" s="18" t="str">
        <x:v>Push with body weight when possible instead of pulling with the arms.</x:v>
      </x:c>
      <x:c r="F103" s="15" t="str">
        <x:v>plain_english</x:v>
      </x:c>
      <x:c r="G103" s="15" t="str">
        <x:v>pass</x:v>
      </x:c>
      <x:c r="H103" s="15" t="str">
        <x:v>not_applicable</x:v>
      </x:c>
      <x:c r="I103" s="15" t="str">
        <x:v>pending_human_review</x:v>
      </x:c>
      <x:c r="J103" s="15" t="str">
        <x:v>pending_human_review</x:v>
      </x:c>
      <x:c r="K103" s="15" t="str">
        <x:v>pending_human_review</x:v>
      </x:c>
      <x:c r="L103" s="15" t="str">
        <x:v>pending_human_review</x:v>
      </x:c>
      <x:c r="M103" s="18" t="str"/>
      <x:c r="N103" s="15" t="str">
        <x:v>pending</x:v>
      </x:c>
      <x:c r="O103" s="15" t="str"/>
      <x:c r="P103" s="15" t="str"/>
      <x:c r="Q103" s="15" t="str">
        <x:v>1</x:v>
      </x:c>
      <x:c r="R103" s="15" t="str">
        <x:v>app_recommendations_v3</x:v>
      </x:c>
      <x:c r="S103" s="15" t="str">
        <x:v>5</x:v>
      </x:c>
    </x:row>
    <x:row r="104" ht="48" customHeight="1">
      <x:c r="A104" s="15" t="str">
        <x:v>act_iso_push_smooth.01</x:v>
      </x:c>
      <x:c r="B104" s="15" t="str">
        <x:v>act_iso_push_smooth</x:v>
      </x:c>
      <x:c r="C104" s="15" t="str">
        <x:v>recommendation</x:v>
      </x:c>
      <x:c r="D104" s="18" t="str">
        <x:v>ออกแรงดันหรือลากอย่างต่อเนื่อง ไม่กระชาก</x:v>
      </x:c>
      <x:c r="E104" s="18" t="str">
        <x:v>Apply push or pull force smoothly without jerking.</x:v>
      </x:c>
      <x:c r="F104" s="15" t="str">
        <x:v>plain_english</x:v>
      </x:c>
      <x:c r="G104" s="15" t="str">
        <x:v>pass</x:v>
      </x:c>
      <x:c r="H104" s="15" t="str">
        <x:v>not_applicable</x:v>
      </x:c>
      <x:c r="I104" s="15" t="str">
        <x:v>pending_human_review</x:v>
      </x:c>
      <x:c r="J104" s="15" t="str">
        <x:v>pending_human_review</x:v>
      </x:c>
      <x:c r="K104" s="15" t="str">
        <x:v>pending_human_review</x:v>
      </x:c>
      <x:c r="L104" s="15" t="str">
        <x:v>pending_human_review</x:v>
      </x:c>
      <x:c r="M104" s="18" t="str"/>
      <x:c r="N104" s="15" t="str">
        <x:v>pending</x:v>
      </x:c>
      <x:c r="O104" s="15" t="str"/>
      <x:c r="P104" s="15" t="str"/>
      <x:c r="Q104" s="15" t="str">
        <x:v>1</x:v>
      </x:c>
      <x:c r="R104" s="15" t="str">
        <x:v>app_recommendations_v3</x:v>
      </x:c>
      <x:c r="S104" s="15" t="str">
        <x:v>5</x:v>
      </x:c>
    </x:row>
    <x:row r="105" ht="48" customHeight="1">
      <x:c r="A105" s="15" t="str">
        <x:v>act_iso_reduce_frequency.01</x:v>
      </x:c>
      <x:c r="B105" s="15" t="str">
        <x:v>act_iso_reduce_frequency</x:v>
      </x:c>
      <x:c r="C105" s="15" t="str">
        <x:v>recommendation</x:v>
      </x:c>
      <x:c r="D105" s="18" t="str">
        <x:v>ลดความถี่ในการยก หรือแบ่งงานเป็นรอบสั้นลง</x:v>
      </x:c>
      <x:c r="E105" s="18" t="str">
        <x:v>Reduce lifting frequency or split the task into shorter rounds.</x:v>
      </x:c>
      <x:c r="F105" s="15" t="str">
        <x:v>direct</x:v>
      </x:c>
      <x:c r="G105" s="15" t="str">
        <x:v>pass</x:v>
      </x:c>
      <x:c r="H105" s="15" t="str">
        <x:v>not_applicable</x:v>
      </x:c>
      <x:c r="I105" s="15" t="str">
        <x:v>pending_human_review</x:v>
      </x:c>
      <x:c r="J105" s="15" t="str">
        <x:v>pending_human_review</x:v>
      </x:c>
      <x:c r="K105" s="15" t="str">
        <x:v>pending_human_review</x:v>
      </x:c>
      <x:c r="L105" s="15" t="str">
        <x:v>pending_human_review</x:v>
      </x:c>
      <x:c r="M105" s="18" t="str"/>
      <x:c r="N105" s="15" t="str">
        <x:v>pending</x:v>
      </x:c>
      <x:c r="O105" s="15" t="str"/>
      <x:c r="P105" s="15" t="str"/>
      <x:c r="Q105" s="15" t="str">
        <x:v>1</x:v>
      </x:c>
      <x:c r="R105" s="15" t="str">
        <x:v>body_map_recommendations</x:v>
      </x:c>
      <x:c r="S105" s="15" t="str">
        <x:v>4,8</x:v>
      </x:c>
    </x:row>
    <x:row r="106" ht="48" customHeight="1">
      <x:c r="A106" s="15" t="str">
        <x:v>act_iso_reduce_push_distance.01</x:v>
      </x:c>
      <x:c r="B106" s="15" t="str">
        <x:v>act_iso_reduce_push_distance</x:v>
      </x:c>
      <x:c r="C106" s="15" t="str">
        <x:v>recommendation</x:v>
      </x:c>
      <x:c r="D106" s="18" t="str">
        <x:v>ลดระยะทางดัน/ลาก หรือแบ่งเส้นทางเป็นช่วงสั้นลง</x:v>
      </x:c>
      <x:c r="E106" s="18" t="str">
        <x:v>Shorten push/pull distance or divide the route into shorter sections.</x:v>
      </x:c>
      <x:c r="F106" s="15" t="str">
        <x:v>direct</x:v>
      </x:c>
      <x:c r="G106" s="15" t="str">
        <x:v>pass</x:v>
      </x:c>
      <x:c r="H106" s="15" t="str">
        <x:v>not_applicable</x:v>
      </x:c>
      <x:c r="I106" s="15" t="str">
        <x:v>pending_human_review</x:v>
      </x:c>
      <x:c r="J106" s="15" t="str">
        <x:v>pending_human_review</x:v>
      </x:c>
      <x:c r="K106" s="15" t="str">
        <x:v>pending_human_review</x:v>
      </x:c>
      <x:c r="L106" s="15" t="str">
        <x:v>pending_human_review</x:v>
      </x:c>
      <x:c r="M106" s="18" t="str"/>
      <x:c r="N106" s="15" t="str">
        <x:v>pending</x:v>
      </x:c>
      <x:c r="O106" s="15" t="str"/>
      <x:c r="P106" s="15" t="str"/>
      <x:c r="Q106" s="15" t="str">
        <x:v>1</x:v>
      </x:c>
      <x:c r="R106" s="15" t="str">
        <x:v>app_recommendations_v3</x:v>
      </x:c>
      <x:c r="S106" s="15" t="str">
        <x:v>5</x:v>
      </x:c>
    </x:row>
    <x:row r="107" ht="48" customHeight="1">
      <x:c r="A107" s="15" t="str">
        <x:v>act_iso_tool_handle_fit.01</x:v>
      </x:c>
      <x:c r="B107" s="15" t="str">
        <x:v>act_iso_tool_handle_fit</x:v>
      </x:c>
      <x:c r="C107" s="15" t="str">
        <x:v>recommendation</x:v>
      </x:c>
      <x:c r="D107" s="18" t="str">
        <x:v>ใช้ด้ามจับที่ไม่ลื่น มีขนาดพอดีมือ</x:v>
      </x:c>
      <x:c r="E107" s="18" t="str">
        <x:v>Use non-slip handles that fit the hand.</x:v>
      </x:c>
      <x:c r="F107" s="15" t="str">
        <x:v>direct</x:v>
      </x:c>
      <x:c r="G107" s="15" t="str">
        <x:v>pass</x:v>
      </x:c>
      <x:c r="H107" s="15" t="str">
        <x:v>not_applicable</x:v>
      </x:c>
      <x:c r="I107" s="15" t="str">
        <x:v>pending_human_review</x:v>
      </x:c>
      <x:c r="J107" s="15" t="str">
        <x:v>pending_human_review</x:v>
      </x:c>
      <x:c r="K107" s="15" t="str">
        <x:v>pending_human_review</x:v>
      </x:c>
      <x:c r="L107" s="15" t="str">
        <x:v>pending_human_review</x:v>
      </x:c>
      <x:c r="M107" s="18" t="str"/>
      <x:c r="N107" s="15" t="str">
        <x:v>pending</x:v>
      </x:c>
      <x:c r="O107" s="15" t="str"/>
      <x:c r="P107" s="15" t="str"/>
      <x:c r="Q107" s="15" t="str">
        <x:v>1</x:v>
      </x:c>
      <x:c r="R107" s="15" t="str">
        <x:v>ilo_ergonomic_checkpoints_agriculture</x:v>
      </x:c>
      <x:c r="S107" s="15" t="str">
        <x:v>79</x:v>
      </x:c>
    </x:row>
    <x:row r="108" ht="48" customHeight="1">
      <x:c r="A108" s="15" t="str">
        <x:v>act_iso_tool_handle_fit.02</x:v>
      </x:c>
      <x:c r="B108" s="15" t="str">
        <x:v>act_iso_tool_handle_fit</x:v>
      </x:c>
      <x:c r="C108" s="15" t="str">
        <x:v>recommendation</x:v>
      </x:c>
      <x:c r="D108" s="18" t="str">
        <x:v>ลดแรงบีบจับ</x:v>
      </x:c>
      <x:c r="E108" s="18" t="str">
        <x:v>Reduce gripping force.</x:v>
      </x:c>
      <x:c r="F108" s="15" t="str">
        <x:v>direct</x:v>
      </x:c>
      <x:c r="G108" s="15" t="str">
        <x:v>pass</x:v>
      </x:c>
      <x:c r="H108" s="15" t="str">
        <x:v>not_applicable</x:v>
      </x:c>
      <x:c r="I108" s="15" t="str">
        <x:v>pending_human_review</x:v>
      </x:c>
      <x:c r="J108" s="15" t="str">
        <x:v>pending_human_review</x:v>
      </x:c>
      <x:c r="K108" s="15" t="str">
        <x:v>pending_human_review</x:v>
      </x:c>
      <x:c r="L108" s="15" t="str">
        <x:v>pending_human_review</x:v>
      </x:c>
      <x:c r="M108" s="18" t="str"/>
      <x:c r="N108" s="15" t="str">
        <x:v>pending</x:v>
      </x:c>
      <x:c r="O108" s="15" t="str"/>
      <x:c r="P108" s="15" t="str"/>
      <x:c r="Q108" s="15" t="str">
        <x:v>1</x:v>
      </x:c>
      <x:c r="R108" s="15" t="str">
        <x:v>ilo_ergonomic_checkpoints_agriculture</x:v>
      </x:c>
      <x:c r="S108" s="15" t="str">
        <x:v>79</x:v>
      </x:c>
    </x:row>
    <x:row r="109" ht="48" customHeight="1">
      <x:c r="A109" s="15" t="str">
        <x:v>act_pesticide_ref_high.01</x:v>
      </x:c>
      <x:c r="B109" s="15" t="str">
        <x:v>act_pesticide_ref_high</x:v>
      </x:c>
      <x:c r="C109" s="15" t="str">
        <x:v>recommendation</x:v>
      </x:c>
      <x:c r="D109" s="18" t="str">
        <x:v>ถ้าถังพ่นหนักเกินน้ำหนักที่แนะนำ ให้ใช้อุปกรณ์ล้อเข็นหรือหัวฉีดแบบต่อท่อยาว</x:v>
      </x:c>
      <x:c r="E109" s="18" t="str">
        <x:v>If the sprayer tank exceeds the recommended weight, use a wheeled aid or a long-hose nozzle.</x:v>
      </x:c>
      <x:c r="F109" s="15" t="str">
        <x:v>direct</x:v>
      </x:c>
      <x:c r="G109" s="15" t="str">
        <x:v>pass</x:v>
      </x:c>
      <x:c r="H109" s="15" t="str">
        <x:v>not_applicable</x:v>
      </x:c>
      <x:c r="I109" s="15" t="str">
        <x:v>pending_human_review</x:v>
      </x:c>
      <x:c r="J109" s="15" t="str">
        <x:v>pending_human_review</x:v>
      </x:c>
      <x:c r="K109" s="15" t="str">
        <x:v>pending_human_review</x:v>
      </x:c>
      <x:c r="L109" s="15" t="str">
        <x:v>pending_human_review</x:v>
      </x:c>
      <x:c r="M109" s="18" t="str"/>
      <x:c r="N109" s="15" t="str">
        <x:v>pending</x:v>
      </x:c>
      <x:c r="O109" s="15" t="str"/>
      <x:c r="P109" s="15" t="str"/>
      <x:c r="Q109" s="15" t="str">
        <x:v>1</x:v>
      </x:c>
      <x:c r="R109" s="15" t="str">
        <x:v>app_recommendations_v3</x:v>
      </x:c>
      <x:c r="S109" s="15" t="str">
        <x:v>2</x:v>
      </x:c>
    </x:row>
    <x:row r="110" ht="48" customHeight="1">
      <x:c r="A110" s="15" t="str">
        <x:v>act_pesticide_ref_high.02</x:v>
      </x:c>
      <x:c r="B110" s="15" t="str">
        <x:v>act_pesticide_ref_high</x:v>
      </x:c>
      <x:c r="C110" s="15" t="str">
        <x:v>recommendation</x:v>
      </x:c>
      <x:c r="D110" s="18" t="str">
        <x:v>หมุนเวียนงานกับเพื่อนทุก 30 นาที</x:v>
      </x:c>
      <x:c r="E110" s="18" t="str">
        <x:v>Rotate tasks with a coworker every 30 minutes.</x:v>
      </x:c>
      <x:c r="F110" s="15" t="str">
        <x:v>direct</x:v>
      </x:c>
      <x:c r="G110" s="15" t="str">
        <x:v>pass</x:v>
      </x:c>
      <x:c r="H110" s="15" t="str">
        <x:v>pass</x:v>
      </x:c>
      <x:c r="I110" s="15" t="str">
        <x:v>pending_human_review</x:v>
      </x:c>
      <x:c r="J110" s="15" t="str">
        <x:v>pending_human_review</x:v>
      </x:c>
      <x:c r="K110" s="15" t="str">
        <x:v>pending_human_review</x:v>
      </x:c>
      <x:c r="L110" s="15" t="str">
        <x:v>pending_human_review</x:v>
      </x:c>
      <x:c r="M110" s="18" t="str"/>
      <x:c r="N110" s="15" t="str">
        <x:v>pending</x:v>
      </x:c>
      <x:c r="O110" s="15" t="str"/>
      <x:c r="P110" s="15" t="str"/>
      <x:c r="Q110" s="15" t="str">
        <x:v>1</x:v>
      </x:c>
      <x:c r="R110" s="15" t="str">
        <x:v>app_recommendations_v3</x:v>
      </x:c>
      <x:c r="S110" s="15" t="str">
        <x:v>2</x:v>
      </x:c>
    </x:row>
    <x:row r="111" ht="48" customHeight="1">
      <x:c r="A111" s="15" t="str">
        <x:v>act_pesticide_ref_low.01</x:v>
      </x:c>
      <x:c r="B111" s="15" t="str">
        <x:v>act_pesticide_ref_low</x:v>
      </x:c>
      <x:c r="C111" s="15" t="str">
        <x:v>recommendation</x:v>
      </x:c>
      <x:c r="D111" s="18" t="str">
        <x:v>ปรับสายสะพายเครื่องพ่นให้พอดี</x:v>
      </x:c>
      <x:c r="E111" s="18" t="str">
        <x:v>Fit sprayer straps properly.</x:v>
      </x:c>
      <x:c r="F111" s="15" t="str">
        <x:v>direct</x:v>
      </x:c>
      <x:c r="G111" s="15" t="str">
        <x:v>pass</x:v>
      </x:c>
      <x:c r="H111" s="15" t="str">
        <x:v>not_applicable</x:v>
      </x:c>
      <x:c r="I111" s="15" t="str">
        <x:v>pending_human_review</x:v>
      </x:c>
      <x:c r="J111" s="15" t="str">
        <x:v>pending_human_review</x:v>
      </x:c>
      <x:c r="K111" s="15" t="str">
        <x:v>pending_human_review</x:v>
      </x:c>
      <x:c r="L111" s="15" t="str">
        <x:v>pending_human_review</x:v>
      </x:c>
      <x:c r="M111" s="18" t="str"/>
      <x:c r="N111" s="15" t="str">
        <x:v>pending</x:v>
      </x:c>
      <x:c r="O111" s="15" t="str"/>
      <x:c r="P111" s="15" t="str"/>
      <x:c r="Q111" s="15" t="str">
        <x:v>1</x:v>
      </x:c>
      <x:c r="R111" s="15" t="str">
        <x:v>app_recommendations_v3</x:v>
      </x:c>
      <x:c r="S111" s="15" t="str">
        <x:v>2</x:v>
      </x:c>
    </x:row>
    <x:row r="112" ht="48" customHeight="1">
      <x:c r="A112" s="15" t="str">
        <x:v>act_pesticide_ref_low.02</x:v>
      </x:c>
      <x:c r="B112" s="15" t="str">
        <x:v>act_pesticide_ref_low</x:v>
      </x:c>
      <x:c r="C112" s="15" t="str">
        <x:v>recommendation</x:v>
      </x:c>
      <x:c r="D112" s="18" t="str">
        <x:v>ใช้หัวฉีดน้ำหนักเบา</x:v>
      </x:c>
      <x:c r="E112" s="18" t="str">
        <x:v>Use a lightweight nozzle.</x:v>
      </x:c>
      <x:c r="F112" s="15" t="str">
        <x:v>direct</x:v>
      </x:c>
      <x:c r="G112" s="15" t="str">
        <x:v>pass</x:v>
      </x:c>
      <x:c r="H112" s="15" t="str">
        <x:v>not_applicable</x:v>
      </x:c>
      <x:c r="I112" s="15" t="str">
        <x:v>pending_human_review</x:v>
      </x:c>
      <x:c r="J112" s="15" t="str">
        <x:v>pending_human_review</x:v>
      </x:c>
      <x:c r="K112" s="15" t="str">
        <x:v>pending_human_review</x:v>
      </x:c>
      <x:c r="L112" s="15" t="str">
        <x:v>pending_human_review</x:v>
      </x:c>
      <x:c r="M112" s="18" t="str"/>
      <x:c r="N112" s="15" t="str">
        <x:v>pending</x:v>
      </x:c>
      <x:c r="O112" s="15" t="str"/>
      <x:c r="P112" s="15" t="str"/>
      <x:c r="Q112" s="15" t="str">
        <x:v>1</x:v>
      </x:c>
      <x:c r="R112" s="15" t="str">
        <x:v>app_recommendations_v3</x:v>
      </x:c>
      <x:c r="S112" s="15" t="str">
        <x:v>2</x:v>
      </x:c>
    </x:row>
    <x:row r="113" ht="48" customHeight="1">
      <x:c r="A113" s="15" t="str">
        <x:v>act_pesticide_ref_low.03</x:v>
      </x:c>
      <x:c r="B113" s="15" t="str">
        <x:v>act_pesticide_ref_low</x:v>
      </x:c>
      <x:c r="C113" s="15" t="str">
        <x:v>recommendation</x:v>
      </x:c>
      <x:c r="D113" s="18" t="str">
        <x:v>พัก 5 นาทีทุกชั่วโมง</x:v>
      </x:c>
      <x:c r="E113" s="18" t="str">
        <x:v>Rest 5 minutes every hour.</x:v>
      </x:c>
      <x:c r="F113" s="15" t="str">
        <x:v>direct</x:v>
      </x:c>
      <x:c r="G113" s="15" t="str">
        <x:v>pass</x:v>
      </x:c>
      <x:c r="H113" s="15" t="str">
        <x:v>pass</x:v>
      </x:c>
      <x:c r="I113" s="15" t="str">
        <x:v>pending_human_review</x:v>
      </x:c>
      <x:c r="J113" s="15" t="str">
        <x:v>pending_human_review</x:v>
      </x:c>
      <x:c r="K113" s="15" t="str">
        <x:v>pending_human_review</x:v>
      </x:c>
      <x:c r="L113" s="15" t="str">
        <x:v>pending_human_review</x:v>
      </x:c>
      <x:c r="M113" s="18" t="str"/>
      <x:c r="N113" s="15" t="str">
        <x:v>pending</x:v>
      </x:c>
      <x:c r="O113" s="15" t="str"/>
      <x:c r="P113" s="15" t="str"/>
      <x:c r="Q113" s="15" t="str">
        <x:v>1</x:v>
      </x:c>
      <x:c r="R113" s="15" t="str">
        <x:v>app_recommendations_v3</x:v>
      </x:c>
      <x:c r="S113" s="15" t="str">
        <x:v>2</x:v>
      </x:c>
    </x:row>
    <x:row r="114" ht="48" customHeight="1">
      <x:c r="A114" s="15" t="str">
        <x:v>act_pesticide_ref_medium.01</x:v>
      </x:c>
      <x:c r="B114" s="15" t="str">
        <x:v>act_pesticide_ref_medium</x:v>
      </x:c>
      <x:c r="C114" s="15" t="str">
        <x:v>recommendation</x:v>
      </x:c>
      <x:c r="D114" s="18" t="str">
        <x:v>ลดระยะเวลาพ่นต่อเนื่องไม่เกิน 1 ชั่วโมง แล้วพัก 15 นาที</x:v>
      </x:c>
      <x:c r="E114" s="18" t="str">
        <x:v>Limit continuous spraying to 1 hour, then rest for 15 minutes.</x:v>
      </x:c>
      <x:c r="F114" s="15" t="str">
        <x:v>direct</x:v>
      </x:c>
      <x:c r="G114" s="15" t="str">
        <x:v>pass</x:v>
      </x:c>
      <x:c r="H114" s="15" t="str">
        <x:v>pass</x:v>
      </x:c>
      <x:c r="I114" s="15" t="str">
        <x:v>pending_human_review</x:v>
      </x:c>
      <x:c r="J114" s="15" t="str">
        <x:v>pending_human_review</x:v>
      </x:c>
      <x:c r="K114" s="15" t="str">
        <x:v>pending_human_review</x:v>
      </x:c>
      <x:c r="L114" s="15" t="str">
        <x:v>pending_human_review</x:v>
      </x:c>
      <x:c r="M114" s="18" t="str"/>
      <x:c r="N114" s="15" t="str">
        <x:v>pending</x:v>
      </x:c>
      <x:c r="O114" s="15" t="str"/>
      <x:c r="P114" s="15" t="str"/>
      <x:c r="Q114" s="15" t="str">
        <x:v>1</x:v>
      </x:c>
      <x:c r="R114" s="15" t="str">
        <x:v>app_recommendations_v3</x:v>
      </x:c>
      <x:c r="S114" s="15" t="str">
        <x:v>2</x:v>
      </x:c>
    </x:row>
    <x:row r="115" ht="48" customHeight="1">
      <x:c r="A115" s="15" t="str">
        <x:v>act_pesticide_ref_medium.02</x:v>
      </x:c>
      <x:c r="B115" s="15" t="str">
        <x:v>act_pesticide_ref_medium</x:v>
      </x:c>
      <x:c r="C115" s="15" t="str">
        <x:v>recommendation</x:v>
      </x:c>
      <x:c r="D115" s="18" t="str">
        <x:v>สลับข้างที่ถือท่อพ่น และใส่รองเท้ากันลื่น</x:v>
      </x:c>
      <x:c r="E115" s="18" t="str">
        <x:v>Alternate the side holding the spray wand and wear non-slip footwear.</x:v>
      </x:c>
      <x:c r="F115" s="15" t="str">
        <x:v>direct</x:v>
      </x:c>
      <x:c r="G115" s="15" t="str">
        <x:v>pass</x:v>
      </x:c>
      <x:c r="H115" s="15" t="str">
        <x:v>not_applicable</x:v>
      </x:c>
      <x:c r="I115" s="15" t="str">
        <x:v>pending_human_review</x:v>
      </x:c>
      <x:c r="J115" s="15" t="str">
        <x:v>pending_human_review</x:v>
      </x:c>
      <x:c r="K115" s="15" t="str">
        <x:v>pending_human_review</x:v>
      </x:c>
      <x:c r="L115" s="15" t="str">
        <x:v>pending_human_review</x:v>
      </x:c>
      <x:c r="M115" s="18" t="str"/>
      <x:c r="N115" s="15" t="str">
        <x:v>pending</x:v>
      </x:c>
      <x:c r="O115" s="15" t="str"/>
      <x:c r="P115" s="15" t="str"/>
      <x:c r="Q115" s="15" t="str">
        <x:v>1</x:v>
      </x:c>
      <x:c r="R115" s="15" t="str">
        <x:v>app_recommendations_v3</x:v>
      </x:c>
      <x:c r="S115" s="15" t="str">
        <x:v>2</x:v>
      </x:c>
    </x:row>
    <x:row r="116" ht="48" customHeight="1">
      <x:c r="A116" s="15" t="str">
        <x:v>act_pruning_ref_high.01</x:v>
      </x:c>
      <x:c r="B116" s="15" t="str">
        <x:v>act_pruning_ref_high</x:v>
      </x:c>
      <x:c r="C116" s="15" t="str">
        <x:v>recommendation</x:v>
      </x:c>
      <x:c r="D116" s="18" t="str">
        <x:v>เปลี่ยนมาใช้เครื่องตัดกิ่งแบบกลไกช่วย</x:v>
      </x:c>
      <x:c r="E116" s="18" t="str">
        <x:v>Use mechanically assisted pruning tools.</x:v>
      </x:c>
      <x:c r="F116" s="15" t="str">
        <x:v>direct</x:v>
      </x:c>
      <x:c r="G116" s="15" t="str">
        <x:v>pass</x:v>
      </x:c>
      <x:c r="H116" s="15" t="str">
        <x:v>not_applicable</x:v>
      </x:c>
      <x:c r="I116" s="15" t="str">
        <x:v>pending_human_review</x:v>
      </x:c>
      <x:c r="J116" s="15" t="str">
        <x:v>pending_human_review</x:v>
      </x:c>
      <x:c r="K116" s="15" t="str">
        <x:v>pending_human_review</x:v>
      </x:c>
      <x:c r="L116" s="15" t="str">
        <x:v>pending_human_review</x:v>
      </x:c>
      <x:c r="M116" s="18" t="str"/>
      <x:c r="N116" s="15" t="str">
        <x:v>pending</x:v>
      </x:c>
      <x:c r="O116" s="15" t="str"/>
      <x:c r="P116" s="15" t="str"/>
      <x:c r="Q116" s="15" t="str">
        <x:v>1</x:v>
      </x:c>
      <x:c r="R116" s="15" t="str">
        <x:v>app_recommendations_v3</x:v>
      </x:c>
      <x:c r="S116" s="15" t="str">
        <x:v>2</x:v>
      </x:c>
    </x:row>
    <x:row r="117" ht="48" customHeight="1">
      <x:c r="A117" s="15" t="str">
        <x:v>act_pruning_ref_high.02</x:v>
      </x:c>
      <x:c r="B117" s="15" t="str">
        <x:v>act_pruning_ref_high</x:v>
      </x:c>
      <x:c r="C117" s="15" t="str">
        <x:v>recommendation</x:v>
      </x:c>
      <x:c r="D117" s="18" t="str">
        <x:v>ถ้าใช้กรรไกรต้องพัก 10 นาทีทุก 20 นาที</x:v>
      </x:c>
      <x:c r="E117" s="18" t="str">
        <x:v>When using shears, rest for 10 minutes every 20 minutes.</x:v>
      </x:c>
      <x:c r="F117" s="15" t="str">
        <x:v>direct</x:v>
      </x:c>
      <x:c r="G117" s="15" t="str">
        <x:v>pass</x:v>
      </x:c>
      <x:c r="H117" s="15" t="str">
        <x:v>pass</x:v>
      </x:c>
      <x:c r="I117" s="15" t="str">
        <x:v>pending_human_review</x:v>
      </x:c>
      <x:c r="J117" s="15" t="str">
        <x:v>pending_human_review</x:v>
      </x:c>
      <x:c r="K117" s="15" t="str">
        <x:v>pending_human_review</x:v>
      </x:c>
      <x:c r="L117" s="15" t="str">
        <x:v>pending_human_review</x:v>
      </x:c>
      <x:c r="M117" s="18" t="str"/>
      <x:c r="N117" s="15" t="str">
        <x:v>pending</x:v>
      </x:c>
      <x:c r="O117" s="15" t="str"/>
      <x:c r="P117" s="15" t="str"/>
      <x:c r="Q117" s="15" t="str">
        <x:v>1</x:v>
      </x:c>
      <x:c r="R117" s="15" t="str">
        <x:v>app_recommendations_v3</x:v>
      </x:c>
      <x:c r="S117" s="15" t="str">
        <x:v>2</x:v>
      </x:c>
    </x:row>
    <x:row r="118" ht="48" customHeight="1">
      <x:c r="A118" s="15" t="str">
        <x:v>act_pruning_ref_high.03</x:v>
      </x:c>
      <x:c r="B118" s="15" t="str">
        <x:v>act_pruning_ref_high</x:v>
      </x:c>
      <x:c r="C118" s="15" t="str">
        <x:v>recommendation</x:v>
      </x:c>
      <x:c r="D118" s="18" t="str">
        <x:v>ทำงานเป็นทีมเพื่อหมุนเวียน</x:v>
      </x:c>
      <x:c r="E118" s="18" t="str">
        <x:v>Work as a team to rotate tasks.</x:v>
      </x:c>
      <x:c r="F118" s="15" t="str">
        <x:v>direct</x:v>
      </x:c>
      <x:c r="G118" s="15" t="str">
        <x:v>pass</x:v>
      </x:c>
      <x:c r="H118" s="15" t="str">
        <x:v>not_applicable</x:v>
      </x:c>
      <x:c r="I118" s="15" t="str">
        <x:v>pending_human_review</x:v>
      </x:c>
      <x:c r="J118" s="15" t="str">
        <x:v>pending_human_review</x:v>
      </x:c>
      <x:c r="K118" s="15" t="str">
        <x:v>pending_human_review</x:v>
      </x:c>
      <x:c r="L118" s="15" t="str">
        <x:v>pending_human_review</x:v>
      </x:c>
      <x:c r="M118" s="18" t="str"/>
      <x:c r="N118" s="15" t="str">
        <x:v>pending</x:v>
      </x:c>
      <x:c r="O118" s="15" t="str"/>
      <x:c r="P118" s="15" t="str"/>
      <x:c r="Q118" s="15" t="str">
        <x:v>1</x:v>
      </x:c>
      <x:c r="R118" s="15" t="str">
        <x:v>app_recommendations_v3</x:v>
      </x:c>
      <x:c r="S118" s="15" t="str">
        <x:v>2</x:v>
      </x:c>
    </x:row>
    <x:row r="119" ht="48" customHeight="1">
      <x:c r="A119" s="15" t="str">
        <x:v>act_pruning_ref_high.04</x:v>
      </x:c>
      <x:c r="B119" s="15" t="str">
        <x:v>act_pruning_ref_high</x:v>
      </x:c>
      <x:c r="C119" s="15" t="str">
        <x:v>recommendation</x:v>
      </x:c>
      <x:c r="D119" s="18" t="str">
        <x:v>หลีกเลี่ยงการตัดในท่าบิดตัว</x:v>
      </x:c>
      <x:c r="E119" s="18" t="str">
        <x:v>Avoid twisting while pruning.</x:v>
      </x:c>
      <x:c r="F119" s="15" t="str">
        <x:v>direct</x:v>
      </x:c>
      <x:c r="G119" s="15" t="str">
        <x:v>pass</x:v>
      </x:c>
      <x:c r="H119" s="15" t="str">
        <x:v>not_applicable</x:v>
      </x:c>
      <x:c r="I119" s="15" t="str">
        <x:v>pending_human_review</x:v>
      </x:c>
      <x:c r="J119" s="15" t="str">
        <x:v>pending_human_review</x:v>
      </x:c>
      <x:c r="K119" s="15" t="str">
        <x:v>pending_human_review</x:v>
      </x:c>
      <x:c r="L119" s="15" t="str">
        <x:v>pending_human_review</x:v>
      </x:c>
      <x:c r="M119" s="18" t="str"/>
      <x:c r="N119" s="15" t="str">
        <x:v>pending</x:v>
      </x:c>
      <x:c r="O119" s="15" t="str"/>
      <x:c r="P119" s="15" t="str"/>
      <x:c r="Q119" s="15" t="str">
        <x:v>1</x:v>
      </x:c>
      <x:c r="R119" s="15" t="str">
        <x:v>app_recommendations_v3</x:v>
      </x:c>
      <x:c r="S119" s="15" t="str">
        <x:v>2</x:v>
      </x:c>
    </x:row>
    <x:row r="120" ht="48" customHeight="1">
      <x:c r="A120" s="15" t="str">
        <x:v>act_pruning_ref_low.01</x:v>
      </x:c>
      <x:c r="B120" s="15" t="str">
        <x:v>act_pruning_ref_low</x:v>
      </x:c>
      <x:c r="C120" s="15" t="str">
        <x:v>recommendation</x:v>
      </x:c>
      <x:c r="D120" s="18" t="str">
        <x:v>ใช้กรรไกรคมและน้ำหนักเบา</x:v>
      </x:c>
      <x:c r="E120" s="18" t="str">
        <x:v>Use sharp, lightweight shears.</x:v>
      </x:c>
      <x:c r="F120" s="15" t="str">
        <x:v>direct</x:v>
      </x:c>
      <x:c r="G120" s="15" t="str">
        <x:v>pass</x:v>
      </x:c>
      <x:c r="H120" s="15" t="str">
        <x:v>not_applicable</x:v>
      </x:c>
      <x:c r="I120" s="15" t="str">
        <x:v>pending_human_review</x:v>
      </x:c>
      <x:c r="J120" s="15" t="str">
        <x:v>pending_human_review</x:v>
      </x:c>
      <x:c r="K120" s="15" t="str">
        <x:v>pending_human_review</x:v>
      </x:c>
      <x:c r="L120" s="15" t="str">
        <x:v>pending_human_review</x:v>
      </x:c>
      <x:c r="M120" s="18" t="str"/>
      <x:c r="N120" s="15" t="str">
        <x:v>pending</x:v>
      </x:c>
      <x:c r="O120" s="15" t="str"/>
      <x:c r="P120" s="15" t="str"/>
      <x:c r="Q120" s="15" t="str">
        <x:v>1</x:v>
      </x:c>
      <x:c r="R120" s="15" t="str">
        <x:v>app_recommendations_v3</x:v>
      </x:c>
      <x:c r="S120" s="15" t="str">
        <x:v>2</x:v>
      </x:c>
    </x:row>
    <x:row r="121" ht="48" customHeight="1">
      <x:c r="A121" s="15" t="str">
        <x:v>act_pruning_ref_low.02</x:v>
      </x:c>
      <x:c r="B121" s="15" t="str">
        <x:v>act_pruning_ref_low</x:v>
      </x:c>
      <x:c r="C121" s="15" t="str">
        <x:v>recommendation</x:v>
      </x:c>
      <x:c r="D121" s="18" t="str">
        <x:v>สลับแขนทุก 10-15 นาที และอย่ายกแขนเหนือศีรษะนาน</x:v>
      </x:c>
      <x:c r="E121" s="18" t="str">
        <x:v>Switch arms every 10-15 minutes and avoid keeping the arms above the head for long periods.</x:v>
      </x:c>
      <x:c r="F121" s="15" t="str">
        <x:v>direct</x:v>
      </x:c>
      <x:c r="G121" s="15" t="str">
        <x:v>pass</x:v>
      </x:c>
      <x:c r="H121" s="15" t="str">
        <x:v>pass</x:v>
      </x:c>
      <x:c r="I121" s="15" t="str">
        <x:v>pending_human_review</x:v>
      </x:c>
      <x:c r="J121" s="15" t="str">
        <x:v>pending_human_review</x:v>
      </x:c>
      <x:c r="K121" s="15" t="str">
        <x:v>pending_human_review</x:v>
      </x:c>
      <x:c r="L121" s="15" t="str">
        <x:v>pending_human_review</x:v>
      </x:c>
      <x:c r="M121" s="18" t="str"/>
      <x:c r="N121" s="15" t="str">
        <x:v>pending</x:v>
      </x:c>
      <x:c r="O121" s="15" t="str"/>
      <x:c r="P121" s="15" t="str"/>
      <x:c r="Q121" s="15" t="str">
        <x:v>1</x:v>
      </x:c>
      <x:c r="R121" s="15" t="str">
        <x:v>app_recommendations_v3</x:v>
      </x:c>
      <x:c r="S121" s="15" t="str">
        <x:v>2</x:v>
      </x:c>
    </x:row>
    <x:row r="122" ht="48" customHeight="1">
      <x:c r="A122" s="15" t="str">
        <x:v>act_pruning_ref_medium.01</x:v>
      </x:c>
      <x:c r="B122" s="15" t="str">
        <x:v>act_pruning_ref_medium</x:v>
      </x:c>
      <x:c r="C122" s="15" t="str">
        <x:v>recommendation</x:v>
      </x:c>
      <x:c r="D122" s="18" t="str">
        <x:v>ใช้กรรไกรแบบก้านยาวเพื่อลดการเอื้อม</x:v>
      </x:c>
      <x:c r="E122" s="18" t="str">
        <x:v>Use long-handled shears to reduce reaching.</x:v>
      </x:c>
      <x:c r="F122" s="15" t="str">
        <x:v>direct</x:v>
      </x:c>
      <x:c r="G122" s="15" t="str">
        <x:v>pass</x:v>
      </x:c>
      <x:c r="H122" s="15" t="str">
        <x:v>not_applicable</x:v>
      </x:c>
      <x:c r="I122" s="15" t="str">
        <x:v>pending_human_review</x:v>
      </x:c>
      <x:c r="J122" s="15" t="str">
        <x:v>pending_human_review</x:v>
      </x:c>
      <x:c r="K122" s="15" t="str">
        <x:v>pending_human_review</x:v>
      </x:c>
      <x:c r="L122" s="15" t="str">
        <x:v>pending_human_review</x:v>
      </x:c>
      <x:c r="M122" s="18" t="str"/>
      <x:c r="N122" s="15" t="str">
        <x:v>pending</x:v>
      </x:c>
      <x:c r="O122" s="15" t="str"/>
      <x:c r="P122" s="15" t="str"/>
      <x:c r="Q122" s="15" t="str">
        <x:v>1</x:v>
      </x:c>
      <x:c r="R122" s="15" t="str">
        <x:v>app_recommendations_v3</x:v>
      </x:c>
      <x:c r="S122" s="15" t="str">
        <x:v>2</x:v>
      </x:c>
    </x:row>
    <x:row r="123" ht="48" customHeight="1">
      <x:c r="A123" s="15" t="str">
        <x:v>act_pruning_ref_medium.02</x:v>
      </x:c>
      <x:c r="B123" s="15" t="str">
        <x:v>act_pruning_ref_medium</x:v>
      </x:c>
      <x:c r="C123" s="15" t="str">
        <x:v>recommendation</x:v>
      </x:c>
      <x:c r="D123" s="18" t="str">
        <x:v>ใช้บันไดสำหรับกิ่งสูง</x:v>
      </x:c>
      <x:c r="E123" s="18" t="str">
        <x:v>Use a ladder for high branches.</x:v>
      </x:c>
      <x:c r="F123" s="15" t="str">
        <x:v>direct</x:v>
      </x:c>
      <x:c r="G123" s="15" t="str">
        <x:v>pass</x:v>
      </x:c>
      <x:c r="H123" s="15" t="str">
        <x:v>not_applicable</x:v>
      </x:c>
      <x:c r="I123" s="15" t="str">
        <x:v>pending_human_review</x:v>
      </x:c>
      <x:c r="J123" s="15" t="str">
        <x:v>pending_human_review</x:v>
      </x:c>
      <x:c r="K123" s="15" t="str">
        <x:v>pending_human_review</x:v>
      </x:c>
      <x:c r="L123" s="15" t="str">
        <x:v>pending_human_review</x:v>
      </x:c>
      <x:c r="M123" s="18" t="str"/>
      <x:c r="N123" s="15" t="str">
        <x:v>pending</x:v>
      </x:c>
      <x:c r="O123" s="15" t="str"/>
      <x:c r="P123" s="15" t="str"/>
      <x:c r="Q123" s="15" t="str">
        <x:v>1</x:v>
      </x:c>
      <x:c r="R123" s="15" t="str">
        <x:v>app_recommendations_v3</x:v>
      </x:c>
      <x:c r="S123" s="15" t="str">
        <x:v>2</x:v>
      </x:c>
    </x:row>
    <x:row r="124" ht="48" customHeight="1">
      <x:c r="A124" s="15" t="str">
        <x:v>act_pruning_ref_medium.03</x:v>
      </x:c>
      <x:c r="B124" s="15" t="str">
        <x:v>act_pruning_ref_medium</x:v>
      </x:c>
      <x:c r="C124" s="15" t="str">
        <x:v>recommendation</x:v>
      </x:c>
      <x:c r="D124" s="18" t="str">
        <x:v>สลับแขน</x:v>
      </x:c>
      <x:c r="E124" s="18" t="str">
        <x:v>Switch arms.</x:v>
      </x:c>
      <x:c r="F124" s="15" t="str">
        <x:v>direct</x:v>
      </x:c>
      <x:c r="G124" s="15" t="str">
        <x:v>pass</x:v>
      </x:c>
      <x:c r="H124" s="15" t="str">
        <x:v>not_applicable</x:v>
      </x:c>
      <x:c r="I124" s="15" t="str">
        <x:v>pending_human_review</x:v>
      </x:c>
      <x:c r="J124" s="15" t="str">
        <x:v>pending_human_review</x:v>
      </x:c>
      <x:c r="K124" s="15" t="str">
        <x:v>pending_human_review</x:v>
      </x:c>
      <x:c r="L124" s="15" t="str">
        <x:v>pending_human_review</x:v>
      </x:c>
      <x:c r="M124" s="18" t="str"/>
      <x:c r="N124" s="15" t="str">
        <x:v>pending</x:v>
      </x:c>
      <x:c r="O124" s="15" t="str"/>
      <x:c r="P124" s="15" t="str"/>
      <x:c r="Q124" s="15" t="str">
        <x:v>1</x:v>
      </x:c>
      <x:c r="R124" s="15" t="str">
        <x:v>app_recommendations_v3</x:v>
      </x:c>
      <x:c r="S124" s="15" t="str">
        <x:v>2</x:v>
      </x:c>
    </x:row>
    <x:row r="125" ht="48" customHeight="1">
      <x:c r="A125" s="15" t="str">
        <x:v>act_pruning_ref_medium.04</x:v>
      </x:c>
      <x:c r="B125" s="15" t="str">
        <x:v>act_pruning_ref_medium</x:v>
      </x:c>
      <x:c r="C125" s="15" t="str">
        <x:v>recommendation</x:v>
      </x:c>
      <x:c r="D125" s="18" t="str">
        <x:v>พัก 5 นาทีทุก 30 นาที</x:v>
      </x:c>
      <x:c r="E125" s="18" t="str">
        <x:v>Rest 5 minutes every 30 minutes.</x:v>
      </x:c>
      <x:c r="F125" s="15" t="str">
        <x:v>direct</x:v>
      </x:c>
      <x:c r="G125" s="15" t="str">
        <x:v>pass</x:v>
      </x:c>
      <x:c r="H125" s="15" t="str">
        <x:v>pass</x:v>
      </x:c>
      <x:c r="I125" s="15" t="str">
        <x:v>pending_human_review</x:v>
      </x:c>
      <x:c r="J125" s="15" t="str">
        <x:v>pending_human_review</x:v>
      </x:c>
      <x:c r="K125" s="15" t="str">
        <x:v>pending_human_review</x:v>
      </x:c>
      <x:c r="L125" s="15" t="str">
        <x:v>pending_human_review</x:v>
      </x:c>
      <x:c r="M125" s="18" t="str"/>
      <x:c r="N125" s="15" t="str">
        <x:v>pending</x:v>
      </x:c>
      <x:c r="O125" s="15" t="str"/>
      <x:c r="P125" s="15" t="str"/>
      <x:c r="Q125" s="15" t="str">
        <x:v>1</x:v>
      </x:c>
      <x:c r="R125" s="15" t="str">
        <x:v>app_recommendations_v3</x:v>
      </x:c>
      <x:c r="S125" s="15" t="str">
        <x:v>2</x:v>
      </x:c>
    </x:row>
    <x:row r="126" ht="48" customHeight="1">
      <x:c r="A126" s="15" t="str">
        <x:v>act_reduce_arm_raise.01</x:v>
      </x:c>
      <x:c r="B126" s="15" t="str">
        <x:v>act_reduce_arm_raise</x:v>
      </x:c>
      <x:c r="C126" s="15" t="str">
        <x:v>recommendation</x:v>
      </x:c>
      <x:c r="D126" s="18" t="str">
        <x:v>ลดการยกแขนสูงเหนือไหล่เป็นเวลานาน</x:v>
      </x:c>
      <x:c r="E126" s="18" t="str">
        <x:v>Reduce prolonged arm raising.</x:v>
      </x:c>
      <x:c r="F126" s="15" t="str">
        <x:v>direct</x:v>
      </x:c>
      <x:c r="G126" s="15" t="str">
        <x:v>pass</x:v>
      </x:c>
      <x:c r="H126" s="15" t="str">
        <x:v>not_applicable</x:v>
      </x:c>
      <x:c r="I126" s="15" t="str">
        <x:v>pending_human_review</x:v>
      </x:c>
      <x:c r="J126" s="15" t="str">
        <x:v>pending_human_review</x:v>
      </x:c>
      <x:c r="K126" s="15" t="str">
        <x:v>pending_human_review</x:v>
      </x:c>
      <x:c r="L126" s="15" t="str">
        <x:v>pending_human_review</x:v>
      </x:c>
      <x:c r="M126" s="18" t="str"/>
      <x:c r="N126" s="15" t="str">
        <x:v>pending</x:v>
      </x:c>
      <x:c r="O126" s="15" t="str"/>
      <x:c r="P126" s="15" t="str"/>
      <x:c r="Q126" s="15" t="str">
        <x:v>1</x:v>
      </x:c>
      <x:c r="R126" s="15" t="str">
        <x:v>body_map_recommendations</x:v>
      </x:c>
      <x:c r="S126" s="15" t="str">
        <x:v>4-5</x:v>
      </x:c>
    </x:row>
    <x:row r="127" ht="48" customHeight="1">
      <x:c r="A127" s="15" t="str">
        <x:v>act_reduce_load_tool.01</x:v>
      </x:c>
      <x:c r="B127" s="15" t="str">
        <x:v>act_reduce_load_tool</x:v>
      </x:c>
      <x:c r="C127" s="15" t="str">
        <x:v>recommendation</x:v>
      </x:c>
      <x:c r="D127" s="18" t="str">
        <x:v>ลดน้ำหนักสิ่งของ หรือใช้เครื่องทุ่นแรง</x:v>
      </x:c>
      <x:c r="E127" s="18" t="str">
        <x:v>Reduce the load weight or use a handling aid.</x:v>
      </x:c>
      <x:c r="F127" s="15" t="str">
        <x:v>direct</x:v>
      </x:c>
      <x:c r="G127" s="15" t="str">
        <x:v>pass</x:v>
      </x:c>
      <x:c r="H127" s="15" t="str">
        <x:v>not_applicable</x:v>
      </x:c>
      <x:c r="I127" s="15" t="str">
        <x:v>pending_human_review</x:v>
      </x:c>
      <x:c r="J127" s="15" t="str">
        <x:v>pending_human_review</x:v>
      </x:c>
      <x:c r="K127" s="15" t="str">
        <x:v>pending_human_review</x:v>
      </x:c>
      <x:c r="L127" s="15" t="str">
        <x:v>pending_human_review</x:v>
      </x:c>
      <x:c r="M127" s="18" t="str"/>
      <x:c r="N127" s="15" t="str">
        <x:v>pending</x:v>
      </x:c>
      <x:c r="O127" s="15" t="str"/>
      <x:c r="P127" s="15" t="str"/>
      <x:c r="Q127" s="15" t="str">
        <x:v>1</x:v>
      </x:c>
      <x:c r="R127" s="15" t="str">
        <x:v>body_map_recommendations</x:v>
      </x:c>
      <x:c r="S127" s="15" t="str">
        <x:v>4,8</x:v>
      </x:c>
    </x:row>
    <x:row r="128" ht="48" customHeight="1">
      <x:c r="A128" s="15" t="str">
        <x:v>act_reduce_weight.01</x:v>
      </x:c>
      <x:c r="B128" s="15" t="str">
        <x:v>act_reduce_weight</x:v>
      </x:c>
      <x:c r="C128" s="15" t="str">
        <x:v>recommendation</x:v>
      </x:c>
      <x:c r="D128" s="18" t="str">
        <x:v>ลดน้ำหนักที่ยก</x:v>
      </x:c>
      <x:c r="E128" s="18" t="str">
        <x:v>Reduce load weight.</x:v>
      </x:c>
      <x:c r="F128" s="15" t="str">
        <x:v>direct</x:v>
      </x:c>
      <x:c r="G128" s="15" t="str">
        <x:v>pass</x:v>
      </x:c>
      <x:c r="H128" s="15" t="str">
        <x:v>not_applicable</x:v>
      </x:c>
      <x:c r="I128" s="15" t="str">
        <x:v>pending_human_review</x:v>
      </x:c>
      <x:c r="J128" s="15" t="str">
        <x:v>pending_human_review</x:v>
      </x:c>
      <x:c r="K128" s="15" t="str">
        <x:v>pending_human_review</x:v>
      </x:c>
      <x:c r="L128" s="15" t="str">
        <x:v>pending_human_review</x:v>
      </x:c>
      <x:c r="M128" s="18" t="str"/>
      <x:c r="N128" s="15" t="str">
        <x:v>pending</x:v>
      </x:c>
      <x:c r="O128" s="15" t="str"/>
      <x:c r="P128" s="15" t="str"/>
      <x:c r="Q128" s="15" t="str">
        <x:v>1</x:v>
      </x:c>
      <x:c r="R128" s="15" t="str">
        <x:v>body_map_recommendations</x:v>
      </x:c>
      <x:c r="S128" s="15" t="str">
        <x:v>7-8</x:v>
      </x:c>
    </x:row>
    <x:row r="129" ht="48" customHeight="1">
      <x:c r="A129" s="15" t="str">
        <x:v>act_ref_weight_high.01</x:v>
      </x:c>
      <x:c r="B129" s="15" t="str">
        <x:v>act_ref_weight_high</x:v>
      </x:c>
      <x:c r="C129" s="15" t="str">
        <x:v>recommendation</x:v>
      </x:c>
      <x:c r="D129" s="18" t="str">
        <x:v>ลดน้ำหนักที่ยกทันที: ชาย 20-45 ปี ไม่เกิน 13 กก.</x:v>
      </x:c>
      <x:c r="E129" s="18" t="str">
        <x:v>Reduce lifting weight immediately: men aged 20-45 years should lift no more than 13 kg.</x:v>
      </x:c>
      <x:c r="F129" s="15" t="str">
        <x:v>direct</x:v>
      </x:c>
      <x:c r="G129" s="15" t="str">
        <x:v>pass</x:v>
      </x:c>
      <x:c r="H129" s="15" t="str">
        <x:v>pass</x:v>
      </x:c>
      <x:c r="I129" s="15" t="str">
        <x:v>pending_human_review</x:v>
      </x:c>
      <x:c r="J129" s="15" t="str">
        <x:v>pending_human_review</x:v>
      </x:c>
      <x:c r="K129" s="15" t="str">
        <x:v>pending_human_review</x:v>
      </x:c>
      <x:c r="L129" s="15" t="str">
        <x:v>pending_human_review</x:v>
      </x:c>
      <x:c r="M129" s="18" t="str"/>
      <x:c r="N129" s="15" t="str">
        <x:v>pending</x:v>
      </x:c>
      <x:c r="O129" s="15" t="str"/>
      <x:c r="P129" s="15" t="str"/>
      <x:c r="Q129" s="15" t="str">
        <x:v>1</x:v>
      </x:c>
      <x:c r="R129" s="15" t="str">
        <x:v>app_recommendations_v3</x:v>
      </x:c>
      <x:c r="S129" s="15" t="str">
        <x:v>1</x:v>
      </x:c>
    </x:row>
    <x:row r="130" ht="48" customHeight="1">
      <x:c r="A130" s="15" t="str">
        <x:v>act_ref_weight_high.02</x:v>
      </x:c>
      <x:c r="B130" s="15" t="str">
        <x:v>act_ref_weight_high</x:v>
      </x:c>
      <x:c r="C130" s="15" t="str">
        <x:v>recommendation</x:v>
      </x:c>
      <x:c r="D130" s="18" t="str">
        <x:v>ชายอายุต่ำกว่า 20 หรือมากกว่า 45 ปี ไม่เกิน 10 กก.</x:v>
      </x:c>
      <x:c r="E130" s="18" t="str">
        <x:v>Men under 20 or over 45 years should lift no more than 10 kg.</x:v>
      </x:c>
      <x:c r="F130" s="15" t="str">
        <x:v>direct</x:v>
      </x:c>
      <x:c r="G130" s="15" t="str">
        <x:v>pass</x:v>
      </x:c>
      <x:c r="H130" s="15" t="str">
        <x:v>pass</x:v>
      </x:c>
      <x:c r="I130" s="15" t="str">
        <x:v>pending_human_review</x:v>
      </x:c>
      <x:c r="J130" s="15" t="str">
        <x:v>pending_human_review</x:v>
      </x:c>
      <x:c r="K130" s="15" t="str">
        <x:v>pending_human_review</x:v>
      </x:c>
      <x:c r="L130" s="15" t="str">
        <x:v>pending_human_review</x:v>
      </x:c>
      <x:c r="M130" s="18" t="str"/>
      <x:c r="N130" s="15" t="str">
        <x:v>pending</x:v>
      </x:c>
      <x:c r="O130" s="15" t="str"/>
      <x:c r="P130" s="15" t="str"/>
      <x:c r="Q130" s="15" t="str">
        <x:v>1</x:v>
      </x:c>
      <x:c r="R130" s="15" t="str">
        <x:v>app_recommendations_v3</x:v>
      </x:c>
      <x:c r="S130" s="15" t="str">
        <x:v>1</x:v>
      </x:c>
    </x:row>
    <x:row r="131" ht="48" customHeight="1">
      <x:c r="A131" s="15" t="str">
        <x:v>act_ref_weight_high.03</x:v>
      </x:c>
      <x:c r="B131" s="15" t="str">
        <x:v>act_ref_weight_high</x:v>
      </x:c>
      <x:c r="C131" s="15" t="str">
        <x:v>recommendation</x:v>
      </x:c>
      <x:c r="D131" s="18" t="str">
        <x:v>หญิง 20-45 ปี ไม่เกิน 10 กก.</x:v>
      </x:c>
      <x:c r="E131" s="18" t="str">
        <x:v>Women aged 20-45 years should lift no more than 10 kg.</x:v>
      </x:c>
      <x:c r="F131" s="15" t="str">
        <x:v>direct</x:v>
      </x:c>
      <x:c r="G131" s="15" t="str">
        <x:v>pass</x:v>
      </x:c>
      <x:c r="H131" s="15" t="str">
        <x:v>pass</x:v>
      </x:c>
      <x:c r="I131" s="15" t="str">
        <x:v>pending_human_review</x:v>
      </x:c>
      <x:c r="J131" s="15" t="str">
        <x:v>pending_human_review</x:v>
      </x:c>
      <x:c r="K131" s="15" t="str">
        <x:v>pending_human_review</x:v>
      </x:c>
      <x:c r="L131" s="15" t="str">
        <x:v>pending_human_review</x:v>
      </x:c>
      <x:c r="M131" s="18" t="str"/>
      <x:c r="N131" s="15" t="str">
        <x:v>pending</x:v>
      </x:c>
      <x:c r="O131" s="15" t="str"/>
      <x:c r="P131" s="15" t="str"/>
      <x:c r="Q131" s="15" t="str">
        <x:v>1</x:v>
      </x:c>
      <x:c r="R131" s="15" t="str">
        <x:v>app_recommendations_v3</x:v>
      </x:c>
      <x:c r="S131" s="15" t="str">
        <x:v>1</x:v>
      </x:c>
    </x:row>
    <x:row r="132" ht="48" customHeight="1">
      <x:c r="A132" s="15" t="str">
        <x:v>act_ref_weight_high.04</x:v>
      </x:c>
      <x:c r="B132" s="15" t="str">
        <x:v>act_ref_weight_high</x:v>
      </x:c>
      <x:c r="C132" s="15" t="str">
        <x:v>recommendation</x:v>
      </x:c>
      <x:c r="D132" s="18" t="str">
        <x:v>หญิงอายุต่ำกว่า 20 หรือมากกว่า 45 ปี ไม่เกิน 8 กก.</x:v>
      </x:c>
      <x:c r="E132" s="18" t="str">
        <x:v>Women under 20 or over 45 years should lift no more than 8 kg.</x:v>
      </x:c>
      <x:c r="F132" s="15" t="str">
        <x:v>direct</x:v>
      </x:c>
      <x:c r="G132" s="15" t="str">
        <x:v>pass</x:v>
      </x:c>
      <x:c r="H132" s="15" t="str">
        <x:v>pass</x:v>
      </x:c>
      <x:c r="I132" s="15" t="str">
        <x:v>pending_human_review</x:v>
      </x:c>
      <x:c r="J132" s="15" t="str">
        <x:v>pending_human_review</x:v>
      </x:c>
      <x:c r="K132" s="15" t="str">
        <x:v>pending_human_review</x:v>
      </x:c>
      <x:c r="L132" s="15" t="str">
        <x:v>pending_human_review</x:v>
      </x:c>
      <x:c r="M132" s="18" t="str"/>
      <x:c r="N132" s="15" t="str">
        <x:v>pending</x:v>
      </x:c>
      <x:c r="O132" s="15" t="str"/>
      <x:c r="P132" s="15" t="str"/>
      <x:c r="Q132" s="15" t="str">
        <x:v>1</x:v>
      </x:c>
      <x:c r="R132" s="15" t="str">
        <x:v>app_recommendations_v3</x:v>
      </x:c>
      <x:c r="S132" s="15" t="str">
        <x:v>1</x:v>
      </x:c>
    </x:row>
    <x:row r="133" ht="48" customHeight="1">
      <x:c r="A133" s="15" t="str">
        <x:v>act_ref_weight_high.05</x:v>
      </x:c>
      <x:c r="B133" s="15" t="str">
        <x:v>act_ref_weight_high</x:v>
      </x:c>
      <x:c r="C133" s="15" t="str">
        <x:v>recommendation</x:v>
      </x:c>
      <x:c r="D133" s="18" t="str">
        <x:v>ถ้าเกินนี้ให้ใช้อุปกรณ์ช่วย</x:v>
      </x:c>
      <x:c r="E133" s="18" t="str">
        <x:v>Use a handling aid if the load exceeds these limits.</x:v>
      </x:c>
      <x:c r="F133" s="15" t="str">
        <x:v>direct</x:v>
      </x:c>
      <x:c r="G133" s="15" t="str">
        <x:v>pass</x:v>
      </x:c>
      <x:c r="H133" s="15" t="str">
        <x:v>not_applicable</x:v>
      </x:c>
      <x:c r="I133" s="15" t="str">
        <x:v>pending_human_review</x:v>
      </x:c>
      <x:c r="J133" s="15" t="str">
        <x:v>pending_human_review</x:v>
      </x:c>
      <x:c r="K133" s="15" t="str">
        <x:v>pending_human_review</x:v>
      </x:c>
      <x:c r="L133" s="15" t="str">
        <x:v>pending_human_review</x:v>
      </x:c>
      <x:c r="M133" s="18" t="str"/>
      <x:c r="N133" s="15" t="str">
        <x:v>pending</x:v>
      </x:c>
      <x:c r="O133" s="15" t="str"/>
      <x:c r="P133" s="15" t="str"/>
      <x:c r="Q133" s="15" t="str">
        <x:v>1</x:v>
      </x:c>
      <x:c r="R133" s="15" t="str">
        <x:v>app_recommendations_v3</x:v>
      </x:c>
      <x:c r="S133" s="15" t="str">
        <x:v>1</x:v>
      </x:c>
    </x:row>
    <x:row r="134" ht="48" customHeight="1">
      <x:c r="A134" s="15" t="str">
        <x:v>act_ref_weight_low.01</x:v>
      </x:c>
      <x:c r="B134" s="15" t="str">
        <x:v>act_ref_weight_low</x:v>
      </x:c>
      <x:c r="C134" s="15" t="str">
        <x:v>recommendation</x:v>
      </x:c>
      <x:c r="D134" s="18" t="str">
        <x:v>ตรวจสอบน้ำหนักที่ยก: ชาย 20-45 ปี ไม่เกิน 25 กก.</x:v>
      </x:c>
      <x:c r="E134" s="18" t="str">
        <x:v>Check lifting weight: men aged 20-45 years should lift no more than 25 kg.</x:v>
      </x:c>
      <x:c r="F134" s="15" t="str">
        <x:v>direct</x:v>
      </x:c>
      <x:c r="G134" s="15" t="str">
        <x:v>pass</x:v>
      </x:c>
      <x:c r="H134" s="15" t="str">
        <x:v>pass</x:v>
      </x:c>
      <x:c r="I134" s="15" t="str">
        <x:v>pending_human_review</x:v>
      </x:c>
      <x:c r="J134" s="15" t="str">
        <x:v>pending_human_review</x:v>
      </x:c>
      <x:c r="K134" s="15" t="str">
        <x:v>pending_human_review</x:v>
      </x:c>
      <x:c r="L134" s="15" t="str">
        <x:v>pending_human_review</x:v>
      </x:c>
      <x:c r="M134" s="18" t="str"/>
      <x:c r="N134" s="15" t="str">
        <x:v>pending</x:v>
      </x:c>
      <x:c r="O134" s="15" t="str"/>
      <x:c r="P134" s="15" t="str"/>
      <x:c r="Q134" s="15" t="str">
        <x:v>1</x:v>
      </x:c>
      <x:c r="R134" s="15" t="str">
        <x:v>app_recommendations_v3</x:v>
      </x:c>
      <x:c r="S134" s="15" t="str">
        <x:v>1</x:v>
      </x:c>
    </x:row>
    <x:row r="135" ht="48" customHeight="1">
      <x:c r="A135" s="15" t="str">
        <x:v>act_ref_weight_low.02</x:v>
      </x:c>
      <x:c r="B135" s="15" t="str">
        <x:v>act_ref_weight_low</x:v>
      </x:c>
      <x:c r="C135" s="15" t="str">
        <x:v>recommendation</x:v>
      </x:c>
      <x:c r="D135" s="18" t="str">
        <x:v>ชายอายุต่ำกว่า 20 หรือมากกว่า 45 ปี ไม่เกิน 20 กก.</x:v>
      </x:c>
      <x:c r="E135" s="18" t="str">
        <x:v>Men under 20 or over 45 years should lift no more than 20 kg.</x:v>
      </x:c>
      <x:c r="F135" s="15" t="str">
        <x:v>direct</x:v>
      </x:c>
      <x:c r="G135" s="15" t="str">
        <x:v>pass</x:v>
      </x:c>
      <x:c r="H135" s="15" t="str">
        <x:v>pass</x:v>
      </x:c>
      <x:c r="I135" s="15" t="str">
        <x:v>pending_human_review</x:v>
      </x:c>
      <x:c r="J135" s="15" t="str">
        <x:v>pending_human_review</x:v>
      </x:c>
      <x:c r="K135" s="15" t="str">
        <x:v>pending_human_review</x:v>
      </x:c>
      <x:c r="L135" s="15" t="str">
        <x:v>pending_human_review</x:v>
      </x:c>
      <x:c r="M135" s="18" t="str"/>
      <x:c r="N135" s="15" t="str">
        <x:v>pending</x:v>
      </x:c>
      <x:c r="O135" s="15" t="str"/>
      <x:c r="P135" s="15" t="str"/>
      <x:c r="Q135" s="15" t="str">
        <x:v>1</x:v>
      </x:c>
      <x:c r="R135" s="15" t="str">
        <x:v>app_recommendations_v3</x:v>
      </x:c>
      <x:c r="S135" s="15" t="str">
        <x:v>1</x:v>
      </x:c>
    </x:row>
    <x:row r="136" ht="48" customHeight="1">
      <x:c r="A136" s="15" t="str">
        <x:v>act_ref_weight_low.03</x:v>
      </x:c>
      <x:c r="B136" s="15" t="str">
        <x:v>act_ref_weight_low</x:v>
      </x:c>
      <x:c r="C136" s="15" t="str">
        <x:v>recommendation</x:v>
      </x:c>
      <x:c r="D136" s="18" t="str">
        <x:v>หญิง 20-45 ปี ไม่เกิน 20 กก.</x:v>
      </x:c>
      <x:c r="E136" s="18" t="str">
        <x:v>Women aged 20-45 years should lift no more than 20 kg.</x:v>
      </x:c>
      <x:c r="F136" s="15" t="str">
        <x:v>direct</x:v>
      </x:c>
      <x:c r="G136" s="15" t="str">
        <x:v>pass</x:v>
      </x:c>
      <x:c r="H136" s="15" t="str">
        <x:v>pass</x:v>
      </x:c>
      <x:c r="I136" s="15" t="str">
        <x:v>pending_human_review</x:v>
      </x:c>
      <x:c r="J136" s="15" t="str">
        <x:v>pending_human_review</x:v>
      </x:c>
      <x:c r="K136" s="15" t="str">
        <x:v>pending_human_review</x:v>
      </x:c>
      <x:c r="L136" s="15" t="str">
        <x:v>pending_human_review</x:v>
      </x:c>
      <x:c r="M136" s="18" t="str"/>
      <x:c r="N136" s="15" t="str">
        <x:v>pending</x:v>
      </x:c>
      <x:c r="O136" s="15" t="str"/>
      <x:c r="P136" s="15" t="str"/>
      <x:c r="Q136" s="15" t="str">
        <x:v>1</x:v>
      </x:c>
      <x:c r="R136" s="15" t="str">
        <x:v>app_recommendations_v3</x:v>
      </x:c>
      <x:c r="S136" s="15" t="str">
        <x:v>1</x:v>
      </x:c>
    </x:row>
    <x:row r="137" ht="48" customHeight="1">
      <x:c r="A137" s="15" t="str">
        <x:v>act_ref_weight_low.04</x:v>
      </x:c>
      <x:c r="B137" s="15" t="str">
        <x:v>act_ref_weight_low</x:v>
      </x:c>
      <x:c r="C137" s="15" t="str">
        <x:v>recommendation</x:v>
      </x:c>
      <x:c r="D137" s="18" t="str">
        <x:v>หญิงอายุต่ำกว่า 20 หรือมากกว่า 45 ปี ไม่เกิน 15 กก.</x:v>
      </x:c>
      <x:c r="E137" s="18" t="str">
        <x:v>Women under 20 or over 45 years should lift no more than 15 kg.</x:v>
      </x:c>
      <x:c r="F137" s="15" t="str">
        <x:v>direct</x:v>
      </x:c>
      <x:c r="G137" s="15" t="str">
        <x:v>pass</x:v>
      </x:c>
      <x:c r="H137" s="15" t="str">
        <x:v>pass</x:v>
      </x:c>
      <x:c r="I137" s="15" t="str">
        <x:v>pending_human_review</x:v>
      </x:c>
      <x:c r="J137" s="15" t="str">
        <x:v>pending_human_review</x:v>
      </x:c>
      <x:c r="K137" s="15" t="str">
        <x:v>pending_human_review</x:v>
      </x:c>
      <x:c r="L137" s="15" t="str">
        <x:v>pending_human_review</x:v>
      </x:c>
      <x:c r="M137" s="18" t="str"/>
      <x:c r="N137" s="15" t="str">
        <x:v>pending</x:v>
      </x:c>
      <x:c r="O137" s="15" t="str"/>
      <x:c r="P137" s="15" t="str"/>
      <x:c r="Q137" s="15" t="str">
        <x:v>1</x:v>
      </x:c>
      <x:c r="R137" s="15" t="str">
        <x:v>app_recommendations_v3</x:v>
      </x:c>
      <x:c r="S137" s="15" t="str">
        <x:v>1</x:v>
      </x:c>
    </x:row>
    <x:row r="138" ht="48" customHeight="1">
      <x:c r="A138" s="15" t="str">
        <x:v>act_ref_weight_medium.01</x:v>
      </x:c>
      <x:c r="B138" s="15" t="str">
        <x:v>act_ref_weight_medium</x:v>
      </x:c>
      <x:c r="C138" s="15" t="str">
        <x:v>recommendation</x:v>
      </x:c>
      <x:c r="D138" s="18" t="str">
        <x:v>ปรับน้ำหนักที่ยก: ชาย 20-45 ปี ไม่เกิน 18 กก.</x:v>
      </x:c>
      <x:c r="E138" s="18" t="str">
        <x:v>Reduce lifting weight: men aged 20-45 years should lift no more than 18 kg.</x:v>
      </x:c>
      <x:c r="F138" s="15" t="str">
        <x:v>direct</x:v>
      </x:c>
      <x:c r="G138" s="15" t="str">
        <x:v>pass</x:v>
      </x:c>
      <x:c r="H138" s="15" t="str">
        <x:v>pass</x:v>
      </x:c>
      <x:c r="I138" s="15" t="str">
        <x:v>pending_human_review</x:v>
      </x:c>
      <x:c r="J138" s="15" t="str">
        <x:v>pending_human_review</x:v>
      </x:c>
      <x:c r="K138" s="15" t="str">
        <x:v>pending_human_review</x:v>
      </x:c>
      <x:c r="L138" s="15" t="str">
        <x:v>pending_human_review</x:v>
      </x:c>
      <x:c r="M138" s="18" t="str"/>
      <x:c r="N138" s="15" t="str">
        <x:v>pending</x:v>
      </x:c>
      <x:c r="O138" s="15" t="str"/>
      <x:c r="P138" s="15" t="str"/>
      <x:c r="Q138" s="15" t="str">
        <x:v>1</x:v>
      </x:c>
      <x:c r="R138" s="15" t="str">
        <x:v>app_recommendations_v3</x:v>
      </x:c>
      <x:c r="S138" s="15" t="str">
        <x:v>1</x:v>
      </x:c>
    </x:row>
    <x:row r="139" ht="48" customHeight="1">
      <x:c r="A139" s="15" t="str">
        <x:v>act_ref_weight_medium.02</x:v>
      </x:c>
      <x:c r="B139" s="15" t="str">
        <x:v>act_ref_weight_medium</x:v>
      </x:c>
      <x:c r="C139" s="15" t="str">
        <x:v>recommendation</x:v>
      </x:c>
      <x:c r="D139" s="18" t="str">
        <x:v>ชายอายุต่ำกว่า 20 หรือมากกว่า 45 ปี ไม่เกิน 15 กก.</x:v>
      </x:c>
      <x:c r="E139" s="18" t="str">
        <x:v>Men under 20 or over 45 years should lift no more than 15 kg.</x:v>
      </x:c>
      <x:c r="F139" s="15" t="str">
        <x:v>direct</x:v>
      </x:c>
      <x:c r="G139" s="15" t="str">
        <x:v>pass</x:v>
      </x:c>
      <x:c r="H139" s="15" t="str">
        <x:v>pass</x:v>
      </x:c>
      <x:c r="I139" s="15" t="str">
        <x:v>pending_human_review</x:v>
      </x:c>
      <x:c r="J139" s="15" t="str">
        <x:v>pending_human_review</x:v>
      </x:c>
      <x:c r="K139" s="15" t="str">
        <x:v>pending_human_review</x:v>
      </x:c>
      <x:c r="L139" s="15" t="str">
        <x:v>pending_human_review</x:v>
      </x:c>
      <x:c r="M139" s="18" t="str"/>
      <x:c r="N139" s="15" t="str">
        <x:v>pending</x:v>
      </x:c>
      <x:c r="O139" s="15" t="str"/>
      <x:c r="P139" s="15" t="str"/>
      <x:c r="Q139" s="15" t="str">
        <x:v>1</x:v>
      </x:c>
      <x:c r="R139" s="15" t="str">
        <x:v>app_recommendations_v3</x:v>
      </x:c>
      <x:c r="S139" s="15" t="str">
        <x:v>1</x:v>
      </x:c>
    </x:row>
    <x:row r="140" ht="48" customHeight="1">
      <x:c r="A140" s="15" t="str">
        <x:v>act_ref_weight_medium.03</x:v>
      </x:c>
      <x:c r="B140" s="15" t="str">
        <x:v>act_ref_weight_medium</x:v>
      </x:c>
      <x:c r="C140" s="15" t="str">
        <x:v>recommendation</x:v>
      </x:c>
      <x:c r="D140" s="18" t="str">
        <x:v>หญิง 20-45 ปี ไม่เกิน 15 กก.</x:v>
      </x:c>
      <x:c r="E140" s="18" t="str">
        <x:v>Women aged 20-45 years should lift no more than 15 kg.</x:v>
      </x:c>
      <x:c r="F140" s="15" t="str">
        <x:v>direct</x:v>
      </x:c>
      <x:c r="G140" s="15" t="str">
        <x:v>pass</x:v>
      </x:c>
      <x:c r="H140" s="15" t="str">
        <x:v>pass</x:v>
      </x:c>
      <x:c r="I140" s="15" t="str">
        <x:v>pending_human_review</x:v>
      </x:c>
      <x:c r="J140" s="15" t="str">
        <x:v>pending_human_review</x:v>
      </x:c>
      <x:c r="K140" s="15" t="str">
        <x:v>pending_human_review</x:v>
      </x:c>
      <x:c r="L140" s="15" t="str">
        <x:v>pending_human_review</x:v>
      </x:c>
      <x:c r="M140" s="18" t="str"/>
      <x:c r="N140" s="15" t="str">
        <x:v>pending</x:v>
      </x:c>
      <x:c r="O140" s="15" t="str"/>
      <x:c r="P140" s="15" t="str"/>
      <x:c r="Q140" s="15" t="str">
        <x:v>1</x:v>
      </x:c>
      <x:c r="R140" s="15" t="str">
        <x:v>app_recommendations_v3</x:v>
      </x:c>
      <x:c r="S140" s="15" t="str">
        <x:v>1</x:v>
      </x:c>
    </x:row>
    <x:row r="141" ht="48" customHeight="1">
      <x:c r="A141" s="15" t="str">
        <x:v>act_ref_weight_medium.04</x:v>
      </x:c>
      <x:c r="B141" s="15" t="str">
        <x:v>act_ref_weight_medium</x:v>
      </x:c>
      <x:c r="C141" s="15" t="str">
        <x:v>recommendation</x:v>
      </x:c>
      <x:c r="D141" s="18" t="str">
        <x:v>หญิงอายุต่ำกว่า 20 หรือมากกว่า 45 ปี ไม่เกิน 11 กก.</x:v>
      </x:c>
      <x:c r="E141" s="18" t="str">
        <x:v>Women under 20 or over 45 years should lift no more than 11 kg.</x:v>
      </x:c>
      <x:c r="F141" s="15" t="str">
        <x:v>direct</x:v>
      </x:c>
      <x:c r="G141" s="15" t="str">
        <x:v>pass</x:v>
      </x:c>
      <x:c r="H141" s="15" t="str">
        <x:v>pass</x:v>
      </x:c>
      <x:c r="I141" s="15" t="str">
        <x:v>pending_human_review</x:v>
      </x:c>
      <x:c r="J141" s="15" t="str">
        <x:v>pending_human_review</x:v>
      </x:c>
      <x:c r="K141" s="15" t="str">
        <x:v>pending_human_review</x:v>
      </x:c>
      <x:c r="L141" s="15" t="str">
        <x:v>pending_human_review</x:v>
      </x:c>
      <x:c r="M141" s="18" t="str"/>
      <x:c r="N141" s="15" t="str">
        <x:v>pending</x:v>
      </x:c>
      <x:c r="O141" s="15" t="str"/>
      <x:c r="P141" s="15" t="str"/>
      <x:c r="Q141" s="15" t="str">
        <x:v>1</x:v>
      </x:c>
      <x:c r="R141" s="15" t="str">
        <x:v>app_recommendations_v3</x:v>
      </x:c>
      <x:c r="S141" s="15" t="str">
        <x:v>1</x:v>
      </x:c>
    </x:row>
    <x:row r="142" ht="48" customHeight="1">
      <x:c r="A142" s="15" t="str">
        <x:v>act_rest_stretch.01</x:v>
      </x:c>
      <x:c r="B142" s="15" t="str">
        <x:v>act_rest_stretch</x:v>
      </x:c>
      <x:c r="C142" s="15" t="str">
        <x:v>recommendation</x:v>
      </x:c>
      <x:c r="D142" s="18" t="str">
        <x:v>ควรพักเบรกเพื่อยืดเหยียดกล้ามเนื้อ</x:v>
      </x:c>
      <x:c r="E142" s="18" t="str">
        <x:v>Take breaks to stretch muscles.</x:v>
      </x:c>
      <x:c r="F142" s="15" t="str">
        <x:v>direct</x:v>
      </x:c>
      <x:c r="G142" s="15" t="str">
        <x:v>pass</x:v>
      </x:c>
      <x:c r="H142" s="15" t="str">
        <x:v>not_applicable</x:v>
      </x:c>
      <x:c r="I142" s="15" t="str">
        <x:v>pending_human_review</x:v>
      </x:c>
      <x:c r="J142" s="15" t="str">
        <x:v>pending_human_review</x:v>
      </x:c>
      <x:c r="K142" s="15" t="str">
        <x:v>pending_human_review</x:v>
      </x:c>
      <x:c r="L142" s="15" t="str">
        <x:v>pending_human_review</x:v>
      </x:c>
      <x:c r="M142" s="18" t="str"/>
      <x:c r="N142" s="15" t="str">
        <x:v>pending</x:v>
      </x:c>
      <x:c r="O142" s="15" t="str"/>
      <x:c r="P142" s="15" t="str"/>
      <x:c r="Q142" s="15" t="str">
        <x:v>1</x:v>
      </x:c>
      <x:c r="R142" s="15" t="str">
        <x:v>ilo_ergonomic_checkpoints_agriculture</x:v>
      </x:c>
      <x:c r="S142" s="15" t="str">
        <x:v>243</x:v>
      </x:c>
    </x:row>
    <x:row r="143" ht="48" customHeight="1">
      <x:c r="A143" s="15" t="str">
        <x:v>act_spray_extension.01</x:v>
      </x:c>
      <x:c r="B143" s="15" t="str">
        <x:v>act_spray_extension</x:v>
      </x:c>
      <x:c r="C143" s="15" t="str">
        <x:v>recommendation</x:v>
      </x:c>
      <x:c r="D143" s="18" t="str">
        <x:v>ใช้ด้ามต่อหัวพ่น เพื่อลดการยกแขนสูงหรือเอื้อมไกล</x:v>
      </x:c>
      <x:c r="E143" s="18" t="str">
        <x:v>Use an extension wand so the arm does not stay raised or overreached.</x:v>
      </x:c>
      <x:c r="F143" s="15" t="str">
        <x:v>direct</x:v>
      </x:c>
      <x:c r="G143" s="15" t="str">
        <x:v>pass</x:v>
      </x:c>
      <x:c r="H143" s="15" t="str">
        <x:v>not_applicable</x:v>
      </x:c>
      <x:c r="I143" s="15" t="str">
        <x:v>pending_human_review</x:v>
      </x:c>
      <x:c r="J143" s="15" t="str">
        <x:v>pending_human_review</x:v>
      </x:c>
      <x:c r="K143" s="15" t="str">
        <x:v>pending_human_review</x:v>
      </x:c>
      <x:c r="L143" s="15" t="str">
        <x:v>pending_human_review</x:v>
      </x:c>
      <x:c r="M143" s="18" t="str"/>
      <x:c r="N143" s="15" t="str">
        <x:v>pending</x:v>
      </x:c>
      <x:c r="O143" s="15" t="str"/>
      <x:c r="P143" s="15" t="str"/>
      <x:c r="Q143" s="15" t="str">
        <x:v>1</x:v>
      </x:c>
      <x:c r="R143" s="15" t="str">
        <x:v>app_recommendations_v3</x:v>
      </x:c>
      <x:c r="S143" s="15" t="str">
        <x:v>2</x:v>
      </x:c>
    </x:row>
    <x:row r="144" ht="48" customHeight="1">
      <x:c r="A144" s="15" t="str">
        <x:v>act_transplant_low_stool.01</x:v>
      </x:c>
      <x:c r="B144" s="15" t="str">
        <x:v>act_transplant_low_stool</x:v>
      </x:c>
      <x:c r="C144" s="15" t="str">
        <x:v>recommendation</x:v>
      </x:c>
      <x:c r="D144" s="18" t="str">
        <x:v>ใช้เก้าอี้เตี้ยหรือเบาะรองเข่า แทนการนั่งยองนาน ๆ</x:v>
      </x:c>
      <x:c r="E144" s="18" t="str">
        <x:v>Use a low stool or knee pad instead of squatting for long periods.</x:v>
      </x:c>
      <x:c r="F144" s="15" t="str">
        <x:v>direct</x:v>
      </x:c>
      <x:c r="G144" s="15" t="str">
        <x:v>pass</x:v>
      </x:c>
      <x:c r="H144" s="15" t="str">
        <x:v>not_applicable</x:v>
      </x:c>
      <x:c r="I144" s="15" t="str">
        <x:v>pending_human_review</x:v>
      </x:c>
      <x:c r="J144" s="15" t="str">
        <x:v>pending_human_review</x:v>
      </x:c>
      <x:c r="K144" s="15" t="str">
        <x:v>pending_human_review</x:v>
      </x:c>
      <x:c r="L144" s="15" t="str">
        <x:v>pending_human_review</x:v>
      </x:c>
      <x:c r="M144" s="18" t="str"/>
      <x:c r="N144" s="15" t="str">
        <x:v>pending</x:v>
      </x:c>
      <x:c r="O144" s="15" t="str"/>
      <x:c r="P144" s="15" t="str"/>
      <x:c r="Q144" s="15" t="str">
        <x:v>1</x:v>
      </x:c>
      <x:c r="R144" s="15" t="str">
        <x:v>app_recommendations_v3</x:v>
      </x:c>
      <x:c r="S144" s="15" t="str">
        <x:v>1</x:v>
      </x:c>
    </x:row>
    <x:row r="145" ht="48" customHeight="1">
      <x:c r="A145" s="15" t="str">
        <x:v>act_transplant_raise_bed.01</x:v>
      </x:c>
      <x:c r="B145" s="15" t="str">
        <x:v>act_transplant_raise_bed</x:v>
      </x:c>
      <x:c r="C145" s="15" t="str">
        <x:v>recommendation</x:v>
      </x:c>
      <x:c r="D145" s="18" t="str">
        <x:v>ยกถาดกล้าหรือพื้นที่ทำงานให้สูงขึ้น เพื่อลดการก้มหลังลึก</x:v>
      </x:c>
      <x:c r="E145" s="18" t="str">
        <x:v>Raise seedling trays or work height to reduce deep bending.</x:v>
      </x:c>
      <x:c r="F145" s="15" t="str">
        <x:v>direct</x:v>
      </x:c>
      <x:c r="G145" s="15" t="str">
        <x:v>pass</x:v>
      </x:c>
      <x:c r="H145" s="15" t="str">
        <x:v>not_applicable</x:v>
      </x:c>
      <x:c r="I145" s="15" t="str">
        <x:v>pending_human_review</x:v>
      </x:c>
      <x:c r="J145" s="15" t="str">
        <x:v>pending_human_review</x:v>
      </x:c>
      <x:c r="K145" s="15" t="str">
        <x:v>pending_human_review</x:v>
      </x:c>
      <x:c r="L145" s="15" t="str">
        <x:v>pending_human_review</x:v>
      </x:c>
      <x:c r="M145" s="18" t="str"/>
      <x:c r="N145" s="15" t="str">
        <x:v>pending</x:v>
      </x:c>
      <x:c r="O145" s="15" t="str"/>
      <x:c r="P145" s="15" t="str"/>
      <x:c r="Q145" s="15" t="str">
        <x:v>1</x:v>
      </x:c>
      <x:c r="R145" s="15" t="str">
        <x:v>app_recommendations_v3</x:v>
      </x:c>
      <x:c r="S145" s="15" t="str">
        <x:v>1</x:v>
      </x:c>
    </x:row>
    <x:row r="146" ht="48" customHeight="1">
      <x:c r="A146" s="15" t="str">
        <x:v>act_transplant_ref_high.01</x:v>
      </x:c>
      <x:c r="B146" s="15" t="str">
        <x:v>act_transplant_ref_high</x:v>
      </x:c>
      <x:c r="C146" s="15" t="str">
        <x:v>recommendation</x:v>
      </x:c>
      <x:c r="D146" s="18" t="str">
        <x:v>ปรับปรุงทันทีโดยยกแปลงเพาะชำให้สูงระดับเอว</x:v>
      </x:c>
      <x:c r="E146" s="18" t="str">
        <x:v>Improve the task immediately by raising the seedling bed to waist height.</x:v>
      </x:c>
      <x:c r="F146" s="15" t="str">
        <x:v>direct</x:v>
      </x:c>
      <x:c r="G146" s="15" t="str">
        <x:v>pass</x:v>
      </x:c>
      <x:c r="H146" s="15" t="str">
        <x:v>not_applicable</x:v>
      </x:c>
      <x:c r="I146" s="15" t="str">
        <x:v>pending_human_review</x:v>
      </x:c>
      <x:c r="J146" s="15" t="str">
        <x:v>pending_human_review</x:v>
      </x:c>
      <x:c r="K146" s="15" t="str">
        <x:v>pending_human_review</x:v>
      </x:c>
      <x:c r="L146" s="15" t="str">
        <x:v>pending_human_review</x:v>
      </x:c>
      <x:c r="M146" s="18" t="str"/>
      <x:c r="N146" s="15" t="str">
        <x:v>pending</x:v>
      </x:c>
      <x:c r="O146" s="15" t="str"/>
      <x:c r="P146" s="15" t="str"/>
      <x:c r="Q146" s="15" t="str">
        <x:v>1</x:v>
      </x:c>
      <x:c r="R146" s="15" t="str">
        <x:v>app_recommendations_v3</x:v>
      </x:c>
      <x:c r="S146" s="15" t="str">
        <x:v>1</x:v>
      </x:c>
    </x:row>
    <x:row r="147" ht="48" customHeight="1">
      <x:c r="A147" s="15" t="str">
        <x:v>act_transplant_ref_high.02</x:v>
      </x:c>
      <x:c r="B147" s="15" t="str">
        <x:v>act_transplant_ref_high</x:v>
      </x:c>
      <x:c r="C147" s="15" t="str">
        <x:v>recommendation</x:v>
      </x:c>
      <x:c r="D147" s="18" t="str">
        <x:v>ใช้อุปกรณ์นั่งยองหรือเก้าอี้เตี้ย</x:v>
      </x:c>
      <x:c r="E147" s="18" t="str">
        <x:v>Use a squatting support or low stool.</x:v>
      </x:c>
      <x:c r="F147" s="15" t="str">
        <x:v>direct</x:v>
      </x:c>
      <x:c r="G147" s="15" t="str">
        <x:v>pass</x:v>
      </x:c>
      <x:c r="H147" s="15" t="str">
        <x:v>not_applicable</x:v>
      </x:c>
      <x:c r="I147" s="15" t="str">
        <x:v>pending_human_review</x:v>
      </x:c>
      <x:c r="J147" s="15" t="str">
        <x:v>pending_human_review</x:v>
      </x:c>
      <x:c r="K147" s="15" t="str">
        <x:v>pending_human_review</x:v>
      </x:c>
      <x:c r="L147" s="15" t="str">
        <x:v>pending_human_review</x:v>
      </x:c>
      <x:c r="M147" s="18" t="str"/>
      <x:c r="N147" s="15" t="str">
        <x:v>pending</x:v>
      </x:c>
      <x:c r="O147" s="15" t="str"/>
      <x:c r="P147" s="15" t="str"/>
      <x:c r="Q147" s="15" t="str">
        <x:v>1</x:v>
      </x:c>
      <x:c r="R147" s="15" t="str">
        <x:v>app_recommendations_v3</x:v>
      </x:c>
      <x:c r="S147" s="15" t="str">
        <x:v>1</x:v>
      </x:c>
    </x:row>
    <x:row r="148" ht="48" customHeight="1">
      <x:c r="A148" s="15" t="str">
        <x:v>act_transplant_ref_high.03</x:v>
      </x:c>
      <x:c r="B148" s="15" t="str">
        <x:v>act_transplant_ref_high</x:v>
      </x:c>
      <x:c r="C148" s="15" t="str">
        <x:v>recommendation</x:v>
      </x:c>
      <x:c r="D148" s="18" t="str">
        <x:v>พักทุก 15-20 นาที</x:v>
      </x:c>
      <x:c r="E148" s="18" t="str">
        <x:v>Take a break every 15-20 minutes.</x:v>
      </x:c>
      <x:c r="F148" s="15" t="str">
        <x:v>direct</x:v>
      </x:c>
      <x:c r="G148" s="15" t="str">
        <x:v>pass</x:v>
      </x:c>
      <x:c r="H148" s="15" t="str">
        <x:v>pass</x:v>
      </x:c>
      <x:c r="I148" s="15" t="str">
        <x:v>pending_human_review</x:v>
      </x:c>
      <x:c r="J148" s="15" t="str">
        <x:v>pending_human_review</x:v>
      </x:c>
      <x:c r="K148" s="15" t="str">
        <x:v>pending_human_review</x:v>
      </x:c>
      <x:c r="L148" s="15" t="str">
        <x:v>pending_human_review</x:v>
      </x:c>
      <x:c r="M148" s="18" t="str"/>
      <x:c r="N148" s="15" t="str">
        <x:v>pending</x:v>
      </x:c>
      <x:c r="O148" s="15" t="str"/>
      <x:c r="P148" s="15" t="str"/>
      <x:c r="Q148" s="15" t="str">
        <x:v>1</x:v>
      </x:c>
      <x:c r="R148" s="15" t="str">
        <x:v>app_recommendations_v3</x:v>
      </x:c>
      <x:c r="S148" s="15" t="str">
        <x:v>1</x:v>
      </x:c>
    </x:row>
    <x:row r="149" ht="48" customHeight="1">
      <x:c r="A149" s="15" t="str">
        <x:v>act_transplant_ref_low.01</x:v>
      </x:c>
      <x:c r="B149" s="15" t="str">
        <x:v>act_transplant_ref_low</x:v>
      </x:c>
      <x:c r="C149" s="15" t="str">
        <x:v>recommendation</x:v>
      </x:c>
      <x:c r="D149" s="18" t="str">
        <x:v>ท่าทางดีอยู่แล้ว ควรสลับยืนกับนั่งยองทุก 20 นาที</x:v>
      </x:c>
      <x:c r="E149" s="18" t="str">
        <x:v>The posture is acceptable; alternate between standing and squatting every 20 minutes.</x:v>
      </x:c>
      <x:c r="F149" s="15" t="str">
        <x:v>direct</x:v>
      </x:c>
      <x:c r="G149" s="15" t="str">
        <x:v>pass</x:v>
      </x:c>
      <x:c r="H149" s="15" t="str">
        <x:v>pass</x:v>
      </x:c>
      <x:c r="I149" s="15" t="str">
        <x:v>pending_human_review</x:v>
      </x:c>
      <x:c r="J149" s="15" t="str">
        <x:v>pending_human_review</x:v>
      </x:c>
      <x:c r="K149" s="15" t="str">
        <x:v>pending_human_review</x:v>
      </x:c>
      <x:c r="L149" s="15" t="str">
        <x:v>pending_human_review</x:v>
      </x:c>
      <x:c r="M149" s="18" t="str"/>
      <x:c r="N149" s="15" t="str">
        <x:v>pending</x:v>
      </x:c>
      <x:c r="O149" s="15" t="str"/>
      <x:c r="P149" s="15" t="str"/>
      <x:c r="Q149" s="15" t="str">
        <x:v>1</x:v>
      </x:c>
      <x:c r="R149" s="15" t="str">
        <x:v>app_recommendations_v3</x:v>
      </x:c>
      <x:c r="S149" s="15" t="str">
        <x:v>1</x:v>
      </x:c>
    </x:row>
    <x:row r="150" ht="48" customHeight="1">
      <x:c r="A150" s="15" t="str">
        <x:v>act_transplant_ref_low.02</x:v>
      </x:c>
      <x:c r="B150" s="15" t="str">
        <x:v>act_transplant_ref_low</x:v>
      </x:c>
      <x:c r="C150" s="15" t="str">
        <x:v>recommendation</x:v>
      </x:c>
      <x:c r="D150" s="18" t="str">
        <x:v>ตรวจสอบความสูงของแปลงเพาะชำให้พอดีกับเอว</x:v>
      </x:c>
      <x:c r="E150" s="18" t="str">
        <x:v>Check that the seedling bed is close to waist height.</x:v>
      </x:c>
      <x:c r="F150" s="15" t="str">
        <x:v>direct</x:v>
      </x:c>
      <x:c r="G150" s="15" t="str">
        <x:v>pass</x:v>
      </x:c>
      <x:c r="H150" s="15" t="str">
        <x:v>not_applicable</x:v>
      </x:c>
      <x:c r="I150" s="15" t="str">
        <x:v>pending_human_review</x:v>
      </x:c>
      <x:c r="J150" s="15" t="str">
        <x:v>pending_human_review</x:v>
      </x:c>
      <x:c r="K150" s="15" t="str">
        <x:v>pending_human_review</x:v>
      </x:c>
      <x:c r="L150" s="15" t="str">
        <x:v>pending_human_review</x:v>
      </x:c>
      <x:c r="M150" s="18" t="str"/>
      <x:c r="N150" s="15" t="str">
        <x:v>pending</x:v>
      </x:c>
      <x:c r="O150" s="15" t="str"/>
      <x:c r="P150" s="15" t="str"/>
      <x:c r="Q150" s="15" t="str">
        <x:v>1</x:v>
      </x:c>
      <x:c r="R150" s="15" t="str">
        <x:v>app_recommendations_v3</x:v>
      </x:c>
      <x:c r="S150" s="15" t="str">
        <x:v>1</x:v>
      </x:c>
    </x:row>
    <x:row r="151" ht="48" customHeight="1">
      <x:c r="A151" s="15" t="str">
        <x:v>act_transplant_ref_medium.01</x:v>
      </x:c>
      <x:c r="B151" s="15" t="str">
        <x:v>act_transplant_ref_medium</x:v>
      </x:c>
      <x:c r="C151" s="15" t="str">
        <x:v>recommendation</x:v>
      </x:c>
      <x:c r="D151" s="18" t="str">
        <x:v>ลดการก้มโดยยกแปลงเพาะชำให้สูงขึ้น</x:v>
      </x:c>
      <x:c r="E151" s="18" t="str">
        <x:v>Raise the seedling bed to reduce bending.</x:v>
      </x:c>
      <x:c r="F151" s="15" t="str">
        <x:v>direct</x:v>
      </x:c>
      <x:c r="G151" s="15" t="str">
        <x:v>pass</x:v>
      </x:c>
      <x:c r="H151" s="15" t="str">
        <x:v>not_applicable</x:v>
      </x:c>
      <x:c r="I151" s="15" t="str">
        <x:v>pending_human_review</x:v>
      </x:c>
      <x:c r="J151" s="15" t="str">
        <x:v>pending_human_review</x:v>
      </x:c>
      <x:c r="K151" s="15" t="str">
        <x:v>pending_human_review</x:v>
      </x:c>
      <x:c r="L151" s="15" t="str">
        <x:v>pending_human_review</x:v>
      </x:c>
      <x:c r="M151" s="18" t="str"/>
      <x:c r="N151" s="15" t="str">
        <x:v>pending</x:v>
      </x:c>
      <x:c r="O151" s="15" t="str"/>
      <x:c r="P151" s="15" t="str"/>
      <x:c r="Q151" s="15" t="str">
        <x:v>1</x:v>
      </x:c>
      <x:c r="R151" s="15" t="str">
        <x:v>app_recommendations_v3</x:v>
      </x:c>
      <x:c r="S151" s="15" t="str">
        <x:v>1</x:v>
      </x:c>
    </x:row>
    <x:row r="152" ht="48" customHeight="1">
      <x:c r="A152" s="15" t="str">
        <x:v>act_transplant_ref_medium.02</x:v>
      </x:c>
      <x:c r="B152" s="15" t="str">
        <x:v>act_transplant_ref_medium</x:v>
      </x:c>
      <x:c r="C152" s="15" t="str">
        <x:v>recommendation</x:v>
      </x:c>
      <x:c r="D152" s="18" t="str">
        <x:v>ใช้เบาะรองนั่งยองหรือเก้าอี้เตี้ย</x:v>
      </x:c>
      <x:c r="E152" s="18" t="str">
        <x:v>Use a squatting cushion or low stool.</x:v>
      </x:c>
      <x:c r="F152" s="15" t="str">
        <x:v>direct</x:v>
      </x:c>
      <x:c r="G152" s="15" t="str">
        <x:v>pass</x:v>
      </x:c>
      <x:c r="H152" s="15" t="str">
        <x:v>not_applicable</x:v>
      </x:c>
      <x:c r="I152" s="15" t="str">
        <x:v>pending_human_review</x:v>
      </x:c>
      <x:c r="J152" s="15" t="str">
        <x:v>pending_human_review</x:v>
      </x:c>
      <x:c r="K152" s="15" t="str">
        <x:v>pending_human_review</x:v>
      </x:c>
      <x:c r="L152" s="15" t="str">
        <x:v>pending_human_review</x:v>
      </x:c>
      <x:c r="M152" s="18" t="str"/>
      <x:c r="N152" s="15" t="str">
        <x:v>pending</x:v>
      </x:c>
      <x:c r="O152" s="15" t="str"/>
      <x:c r="P152" s="15" t="str"/>
      <x:c r="Q152" s="15" t="str">
        <x:v>1</x:v>
      </x:c>
      <x:c r="R152" s="15" t="str">
        <x:v>app_recommendations_v3</x:v>
      </x:c>
      <x:c r="S152" s="15" t="str">
        <x:v>1</x:v>
      </x:c>
    </x:row>
    <x:row r="153" ht="48" customHeight="1">
      <x:c r="A153" s="15" t="str">
        <x:v>act_transplant_ref_medium.03</x:v>
      </x:c>
      <x:c r="B153" s="15" t="str">
        <x:v>act_transplant_ref_medium</x:v>
      </x:c>
      <x:c r="C153" s="15" t="str">
        <x:v>recommendation</x:v>
      </x:c>
      <x:c r="D153" s="18" t="str">
        <x:v>สลับท่าทุก 15 นาที และฝึกยกต้นกล้าโดยใช้ขา</x:v>
      </x:c>
      <x:c r="E153" s="18" t="str">
        <x:v>Change posture every 15 minutes and lift seedlings using the legs.</x:v>
      </x:c>
      <x:c r="F153" s="15" t="str">
        <x:v>direct</x:v>
      </x:c>
      <x:c r="G153" s="15" t="str">
        <x:v>pass</x:v>
      </x:c>
      <x:c r="H153" s="15" t="str">
        <x:v>pass</x:v>
      </x:c>
      <x:c r="I153" s="15" t="str">
        <x:v>pending_human_review</x:v>
      </x:c>
      <x:c r="J153" s="15" t="str">
        <x:v>pending_human_review</x:v>
      </x:c>
      <x:c r="K153" s="15" t="str">
        <x:v>pending_human_review</x:v>
      </x:c>
      <x:c r="L153" s="15" t="str">
        <x:v>pending_human_review</x:v>
      </x:c>
      <x:c r="M153" s="18" t="str"/>
      <x:c r="N153" s="15" t="str">
        <x:v>pending</x:v>
      </x:c>
      <x:c r="O153" s="15" t="str"/>
      <x:c r="P153" s="15" t="str"/>
      <x:c r="Q153" s="15" t="str">
        <x:v>1</x:v>
      </x:c>
      <x:c r="R153" s="15" t="str">
        <x:v>app_recommendations_v3</x:v>
      </x:c>
      <x:c r="S153" s="15" t="str">
        <x:v>1</x:v>
      </x:c>
    </x:row>
    <x:row r="154" ht="48" customHeight="1">
      <x:c r="A154" s="15" t="str">
        <x:v>act_transport_clear_path.01</x:v>
      </x:c>
      <x:c r="B154" s="15" t="str">
        <x:v>act_transport_clear_path</x:v>
      </x:c>
      <x:c r="C154" s="15" t="str">
        <x:v>recommendation</x:v>
      </x:c>
      <x:c r="D154" s="18" t="str">
        <x:v>จัดทางเดินให้เรียบและไม่มีสิ่งกีดขวางก่อนขนย้าย</x:v>
      </x:c>
      <x:c r="E154" s="18" t="str">
        <x:v>Make the transport path level and clear of obstacles before moving materials.</x:v>
      </x:c>
      <x:c r="F154" s="15" t="str">
        <x:v>direct</x:v>
      </x:c>
      <x:c r="G154" s="15" t="str">
        <x:v>pass</x:v>
      </x:c>
      <x:c r="H154" s="15" t="str">
        <x:v>not_applicable</x:v>
      </x:c>
      <x:c r="I154" s="15" t="str">
        <x:v>pending_human_review</x:v>
      </x:c>
      <x:c r="J154" s="15" t="str">
        <x:v>pending_human_review</x:v>
      </x:c>
      <x:c r="K154" s="15" t="str">
        <x:v>pending_human_review</x:v>
      </x:c>
      <x:c r="L154" s="15" t="str">
        <x:v>pending_human_review</x:v>
      </x:c>
      <x:c r="M154" s="18" t="str"/>
      <x:c r="N154" s="15" t="str">
        <x:v>pending</x:v>
      </x:c>
      <x:c r="O154" s="15" t="str"/>
      <x:c r="P154" s="15" t="str"/>
      <x:c r="Q154" s="15" t="str">
        <x:v>1</x:v>
      </x:c>
      <x:c r="R154" s="15" t="str">
        <x:v>ilo_ergonomic_checkpoints_agriculture</x:v>
      </x:c>
      <x:c r="S154" s="15" t="str">
        <x:v>29</x:v>
      </x:c>
    </x:row>
    <x:row r="155" ht="48" customHeight="1">
      <x:c r="A155" s="15" t="str">
        <x:v>act_transport_ref_high.01</x:v>
      </x:c>
      <x:c r="B155" s="15" t="str">
        <x:v>act_transport_ref_high</x:v>
      </x:c>
      <x:c r="C155" s="15" t="str">
        <x:v>recommendation</x:v>
      </x:c>
      <x:c r="D155" s="18" t="str">
        <x:v>ลดน้ำหนักกระสอบ</x:v>
      </x:c>
      <x:c r="E155" s="18" t="str">
        <x:v>Reduce sack weight.</x:v>
      </x:c>
      <x:c r="F155" s="15" t="str">
        <x:v>direct</x:v>
      </x:c>
      <x:c r="G155" s="15" t="str">
        <x:v>pass</x:v>
      </x:c>
      <x:c r="H155" s="15" t="str">
        <x:v>not_applicable</x:v>
      </x:c>
      <x:c r="I155" s="15" t="str">
        <x:v>pending_human_review</x:v>
      </x:c>
      <x:c r="J155" s="15" t="str">
        <x:v>pending_human_review</x:v>
      </x:c>
      <x:c r="K155" s="15" t="str">
        <x:v>pending_human_review</x:v>
      </x:c>
      <x:c r="L155" s="15" t="str">
        <x:v>pending_human_review</x:v>
      </x:c>
      <x:c r="M155" s="18" t="str"/>
      <x:c r="N155" s="15" t="str">
        <x:v>pending</x:v>
      </x:c>
      <x:c r="O155" s="15" t="str"/>
      <x:c r="P155" s="15" t="str"/>
      <x:c r="Q155" s="15" t="str">
        <x:v>1</x:v>
      </x:c>
      <x:c r="R155" s="15" t="str">
        <x:v>app_recommendations_v3</x:v>
      </x:c>
      <x:c r="S155" s="15" t="str">
        <x:v>3</x:v>
      </x:c>
    </x:row>
    <x:row r="156" ht="48" customHeight="1">
      <x:c r="A156" s="15" t="str">
        <x:v>act_transport_ref_high.02</x:v>
      </x:c>
      <x:c r="B156" s="15" t="str">
        <x:v>act_transport_ref_high</x:v>
      </x:c>
      <x:c r="C156" s="15" t="str">
        <x:v>recommendation</x:v>
      </x:c>
      <x:c r="D156" s="18" t="str">
        <x:v>ใช้เกวียนหรือรถเข็นล้อใหญ่ ปูพื้นกันลื่น</x:v>
      </x:c>
      <x:c r="E156" s="18" t="str">
        <x:v>Use a wagon or large-wheel cart and provide a non-slip surface.</x:v>
      </x:c>
      <x:c r="F156" s="15" t="str">
        <x:v>direct</x:v>
      </x:c>
      <x:c r="G156" s="15" t="str">
        <x:v>pass</x:v>
      </x:c>
      <x:c r="H156" s="15" t="str">
        <x:v>not_applicable</x:v>
      </x:c>
      <x:c r="I156" s="15" t="str">
        <x:v>pending_human_review</x:v>
      </x:c>
      <x:c r="J156" s="15" t="str">
        <x:v>pending_human_review</x:v>
      </x:c>
      <x:c r="K156" s="15" t="str">
        <x:v>pending_human_review</x:v>
      </x:c>
      <x:c r="L156" s="15" t="str">
        <x:v>pending_human_review</x:v>
      </x:c>
      <x:c r="M156" s="18" t="str"/>
      <x:c r="N156" s="15" t="str">
        <x:v>pending</x:v>
      </x:c>
      <x:c r="O156" s="15" t="str"/>
      <x:c r="P156" s="15" t="str"/>
      <x:c r="Q156" s="15" t="str">
        <x:v>1</x:v>
      </x:c>
      <x:c r="R156" s="15" t="str">
        <x:v>app_recommendations_v3</x:v>
      </x:c>
      <x:c r="S156" s="15" t="str">
        <x:v>3</x:v>
      </x:c>
    </x:row>
    <x:row r="157" ht="48" customHeight="1">
      <x:c r="A157" s="15" t="str">
        <x:v>act_transport_ref_high.03</x:v>
      </x:c>
      <x:c r="B157" s="15" t="str">
        <x:v>act_transport_ref_high</x:v>
      </x:c>
      <x:c r="C157" s="15" t="str">
        <x:v>recommendation</x:v>
      </x:c>
      <x:c r="D157" s="18" t="str">
        <x:v>จัดพัก 10-15 นาทีทุก 30 นาที และฝึกเทคนิคการยกที่ถูกต้องร่วมกับเพื่อน</x:v>
      </x:c>
      <x:c r="E157" s="18" t="str">
        <x:v>Rest for 10-15 minutes every 30 minutes and practise correct team-lifting technique.</x:v>
      </x:c>
      <x:c r="F157" s="15" t="str">
        <x:v>direct</x:v>
      </x:c>
      <x:c r="G157" s="15" t="str">
        <x:v>pass</x:v>
      </x:c>
      <x:c r="H157" s="15" t="str">
        <x:v>pass</x:v>
      </x:c>
      <x:c r="I157" s="15" t="str">
        <x:v>pending_human_review</x:v>
      </x:c>
      <x:c r="J157" s="15" t="str">
        <x:v>pending_human_review</x:v>
      </x:c>
      <x:c r="K157" s="15" t="str">
        <x:v>pending_human_review</x:v>
      </x:c>
      <x:c r="L157" s="15" t="str">
        <x:v>pending_human_review</x:v>
      </x:c>
      <x:c r="M157" s="18" t="str"/>
      <x:c r="N157" s="15" t="str">
        <x:v>pending</x:v>
      </x:c>
      <x:c r="O157" s="15" t="str"/>
      <x:c r="P157" s="15" t="str"/>
      <x:c r="Q157" s="15" t="str">
        <x:v>1</x:v>
      </x:c>
      <x:c r="R157" s="15" t="str">
        <x:v>app_recommendations_v3</x:v>
      </x:c>
      <x:c r="S157" s="15" t="str">
        <x:v>3</x:v>
      </x:c>
    </x:row>
    <x:row r="158" ht="48" customHeight="1">
      <x:c r="A158" s="15" t="str">
        <x:v>act_transport_ref_low.01</x:v>
      </x:c>
      <x:c r="B158" s="15" t="str">
        <x:v>act_transport_ref_low</x:v>
      </x:c>
      <x:c r="C158" s="15" t="str">
        <x:v>recommendation</x:v>
      </x:c>
      <x:c r="D158" s="18" t="str">
        <x:v>ใช้รถเข็นทุกครั้ง</x:v>
      </x:c>
      <x:c r="E158" s="18" t="str">
        <x:v>Use a cart every time.</x:v>
      </x:c>
      <x:c r="F158" s="15" t="str">
        <x:v>direct</x:v>
      </x:c>
      <x:c r="G158" s="15" t="str">
        <x:v>pass</x:v>
      </x:c>
      <x:c r="H158" s="15" t="str">
        <x:v>not_applicable</x:v>
      </x:c>
      <x:c r="I158" s="15" t="str">
        <x:v>pending_human_review</x:v>
      </x:c>
      <x:c r="J158" s="15" t="str">
        <x:v>pending_human_review</x:v>
      </x:c>
      <x:c r="K158" s="15" t="str">
        <x:v>pending_human_review</x:v>
      </x:c>
      <x:c r="L158" s="15" t="str">
        <x:v>pending_human_review</x:v>
      </x:c>
      <x:c r="M158" s="18" t="str"/>
      <x:c r="N158" s="15" t="str">
        <x:v>pending</x:v>
      </x:c>
      <x:c r="O158" s="15" t="str"/>
      <x:c r="P158" s="15" t="str"/>
      <x:c r="Q158" s="15" t="str">
        <x:v>1</x:v>
      </x:c>
      <x:c r="R158" s="15" t="str">
        <x:v>app_recommendations_v3</x:v>
      </x:c>
      <x:c r="S158" s="15" t="str">
        <x:v>3</x:v>
      </x:c>
    </x:row>
    <x:row r="159" ht="48" customHeight="1">
      <x:c r="A159" s="15" t="str">
        <x:v>act_transport_ref_low.02</x:v>
      </x:c>
      <x:c r="B159" s="15" t="str">
        <x:v>act_transport_ref_low</x:v>
      </x:c>
      <x:c r="C159" s="15" t="str">
        <x:v>recommendation</x:v>
      </x:c>
      <x:c r="D159" s="18" t="str">
        <x:v>ยกของโดยงอเข่า หลังตรง ไม่บิดตัว และสวมรองเท้ากันลื่น</x:v>
      </x:c>
      <x:c r="E159" s="18" t="str">
        <x:v>Lift by bending the knees, keeping the back straight, avoiding twisting, and wearing non-slip footwear.</x:v>
      </x:c>
      <x:c r="F159" s="15" t="str">
        <x:v>direct</x:v>
      </x:c>
      <x:c r="G159" s="15" t="str">
        <x:v>pass</x:v>
      </x:c>
      <x:c r="H159" s="15" t="str">
        <x:v>not_applicable</x:v>
      </x:c>
      <x:c r="I159" s="15" t="str">
        <x:v>pending_human_review</x:v>
      </x:c>
      <x:c r="J159" s="15" t="str">
        <x:v>pending_human_review</x:v>
      </x:c>
      <x:c r="K159" s="15" t="str">
        <x:v>pending_human_review</x:v>
      </x:c>
      <x:c r="L159" s="15" t="str">
        <x:v>pending_human_review</x:v>
      </x:c>
      <x:c r="M159" s="18" t="str"/>
      <x:c r="N159" s="15" t="str">
        <x:v>pending</x:v>
      </x:c>
      <x:c r="O159" s="15" t="str"/>
      <x:c r="P159" s="15" t="str"/>
      <x:c r="Q159" s="15" t="str">
        <x:v>1</x:v>
      </x:c>
      <x:c r="R159" s="15" t="str">
        <x:v>app_recommendations_v3</x:v>
      </x:c>
      <x:c r="S159" s="15" t="str">
        <x:v>3</x:v>
      </x:c>
    </x:row>
    <x:row r="160" ht="48" customHeight="1">
      <x:c r="A160" s="15" t="str">
        <x:v>act_transport_ref_medium.01</x:v>
      </x:c>
      <x:c r="B160" s="15" t="str">
        <x:v>act_transport_ref_medium</x:v>
      </x:c>
      <x:c r="C160" s="15" t="str">
        <x:v>recommendation</x:v>
      </x:c>
      <x:c r="D160" s="18" t="str">
        <x:v>ลดน้ำหนักกระสอบ</x:v>
      </x:c>
      <x:c r="E160" s="18" t="str">
        <x:v>Reduce sack weight.</x:v>
      </x:c>
      <x:c r="F160" s="15" t="str">
        <x:v>direct</x:v>
      </x:c>
      <x:c r="G160" s="15" t="str">
        <x:v>pass</x:v>
      </x:c>
      <x:c r="H160" s="15" t="str">
        <x:v>not_applicable</x:v>
      </x:c>
      <x:c r="I160" s="15" t="str">
        <x:v>pending_human_review</x:v>
      </x:c>
      <x:c r="J160" s="15" t="str">
        <x:v>pending_human_review</x:v>
      </x:c>
      <x:c r="K160" s="15" t="str">
        <x:v>pending_human_review</x:v>
      </x:c>
      <x:c r="L160" s="15" t="str">
        <x:v>pending_human_review</x:v>
      </x:c>
      <x:c r="M160" s="18" t="str"/>
      <x:c r="N160" s="15" t="str">
        <x:v>pending</x:v>
      </x:c>
      <x:c r="O160" s="15" t="str"/>
      <x:c r="P160" s="15" t="str"/>
      <x:c r="Q160" s="15" t="str">
        <x:v>1</x:v>
      </x:c>
      <x:c r="R160" s="15" t="str">
        <x:v>app_recommendations_v3</x:v>
      </x:c>
      <x:c r="S160" s="15" t="str">
        <x:v>3</x:v>
      </x:c>
    </x:row>
    <x:row r="161" ht="48" customHeight="1">
      <x:c r="A161" s="15" t="str">
        <x:v>act_transport_ref_medium.02</x:v>
      </x:c>
      <x:c r="B161" s="15" t="str">
        <x:v>act_transport_ref_medium</x:v>
      </x:c>
      <x:c r="C161" s="15" t="str">
        <x:v>recommendation</x:v>
      </x:c>
      <x:c r="D161" s="18" t="str">
        <x:v>ใช้รถเข็น</x:v>
      </x:c>
      <x:c r="E161" s="18" t="str">
        <x:v>Use a cart.</x:v>
      </x:c>
      <x:c r="F161" s="15" t="str">
        <x:v>direct</x:v>
      </x:c>
      <x:c r="G161" s="15" t="str">
        <x:v>pass</x:v>
      </x:c>
      <x:c r="H161" s="15" t="str">
        <x:v>not_applicable</x:v>
      </x:c>
      <x:c r="I161" s="15" t="str">
        <x:v>pending_human_review</x:v>
      </x:c>
      <x:c r="J161" s="15" t="str">
        <x:v>pending_human_review</x:v>
      </x:c>
      <x:c r="K161" s="15" t="str">
        <x:v>pending_human_review</x:v>
      </x:c>
      <x:c r="L161" s="15" t="str">
        <x:v>pending_human_review</x:v>
      </x:c>
      <x:c r="M161" s="18" t="str"/>
      <x:c r="N161" s="15" t="str">
        <x:v>pending</x:v>
      </x:c>
      <x:c r="O161" s="15" t="str"/>
      <x:c r="P161" s="15" t="str"/>
      <x:c r="Q161" s="15" t="str">
        <x:v>1</x:v>
      </x:c>
      <x:c r="R161" s="15" t="str">
        <x:v>app_recommendations_v3</x:v>
      </x:c>
      <x:c r="S161" s="15" t="str">
        <x:v>3</x:v>
      </x:c>
    </x:row>
    <x:row r="162" ht="48" customHeight="1">
      <x:c r="A162" s="15" t="str">
        <x:v>act_transport_ref_medium.03</x:v>
      </x:c>
      <x:c r="B162" s="15" t="str">
        <x:v>act_transport_ref_medium</x:v>
      </x:c>
      <x:c r="C162" s="15" t="str">
        <x:v>recommendation</x:v>
      </x:c>
      <x:c r="D162" s="18" t="str">
        <x:v>ปรับปรุงทางเดิน</x:v>
      </x:c>
      <x:c r="E162" s="18" t="str">
        <x:v>Improve the path.</x:v>
      </x:c>
      <x:c r="F162" s="15" t="str">
        <x:v>direct</x:v>
      </x:c>
      <x:c r="G162" s="15" t="str">
        <x:v>pass</x:v>
      </x:c>
      <x:c r="H162" s="15" t="str">
        <x:v>not_applicable</x:v>
      </x:c>
      <x:c r="I162" s="15" t="str">
        <x:v>pending_human_review</x:v>
      </x:c>
      <x:c r="J162" s="15" t="str">
        <x:v>pending_human_review</x:v>
      </x:c>
      <x:c r="K162" s="15" t="str">
        <x:v>pending_human_review</x:v>
      </x:c>
      <x:c r="L162" s="15" t="str">
        <x:v>pending_human_review</x:v>
      </x:c>
      <x:c r="M162" s="18" t="str"/>
      <x:c r="N162" s="15" t="str">
        <x:v>pending</x:v>
      </x:c>
      <x:c r="O162" s="15" t="str"/>
      <x:c r="P162" s="15" t="str"/>
      <x:c r="Q162" s="15" t="str">
        <x:v>1</x:v>
      </x:c>
      <x:c r="R162" s="15" t="str">
        <x:v>app_recommendations_v3</x:v>
      </x:c>
      <x:c r="S162" s="15" t="str">
        <x:v>3</x:v>
      </x:c>
    </x:row>
    <x:row r="163" ht="48" customHeight="1">
      <x:c r="A163" s="15" t="str">
        <x:v>act_transport_ref_medium.04</x:v>
      </x:c>
      <x:c r="B163" s="15" t="str">
        <x:v>act_transport_ref_medium</x:v>
      </x:c>
      <x:c r="C163" s="15" t="str">
        <x:v>recommendation</x:v>
      </x:c>
      <x:c r="D163" s="18" t="str">
        <x:v>เปลี่ยนทิศทางโดยหมุนเท้าแทนการบิดเอว</x:v>
      </x:c>
      <x:c r="E163" s="18" t="str">
        <x:v>Turn with the feet instead of twisting the waist.</x:v>
      </x:c>
      <x:c r="F163" s="15" t="str">
        <x:v>direct</x:v>
      </x:c>
      <x:c r="G163" s="15" t="str">
        <x:v>pass</x:v>
      </x:c>
      <x:c r="H163" s="15" t="str">
        <x:v>not_applicable</x:v>
      </x:c>
      <x:c r="I163" s="15" t="str">
        <x:v>pending_human_review</x:v>
      </x:c>
      <x:c r="J163" s="15" t="str">
        <x:v>pending_human_review</x:v>
      </x:c>
      <x:c r="K163" s="15" t="str">
        <x:v>pending_human_review</x:v>
      </x:c>
      <x:c r="L163" s="15" t="str">
        <x:v>pending_human_review</x:v>
      </x:c>
      <x:c r="M163" s="18" t="str"/>
      <x:c r="N163" s="15" t="str">
        <x:v>pending</x:v>
      </x:c>
      <x:c r="O163" s="15" t="str"/>
      <x:c r="P163" s="15" t="str"/>
      <x:c r="Q163" s="15" t="str">
        <x:v>1</x:v>
      </x:c>
      <x:c r="R163" s="15" t="str">
        <x:v>app_recommendations_v3</x:v>
      </x:c>
      <x:c r="S163" s="15" t="str">
        <x:v>3</x:v>
      </x:c>
    </x:row>
    <x:row r="164" ht="48" customHeight="1">
      <x:c r="A164" s="15" t="str">
        <x:v>act_transport_two_person.01</x:v>
      </x:c>
      <x:c r="B164" s="15" t="str">
        <x:v>act_transport_two_person</x:v>
      </x:c>
      <x:c r="C164" s="15" t="str">
        <x:v>recommendation</x:v>
      </x:c>
      <x:c r="D164" s="18" t="str">
        <x:v>ให้คนช่วยยกเมื่อผลผลิตหนักเกินไป</x:v>
      </x:c>
      <x:c r="E164" s="18" t="str">
        <x:v>Ask another person to help lift heavy produce when needed.</x:v>
      </x:c>
      <x:c r="F164" s="15" t="str">
        <x:v>direct</x:v>
      </x:c>
      <x:c r="G164" s="15" t="str">
        <x:v>pass</x:v>
      </x:c>
      <x:c r="H164" s="15" t="str">
        <x:v>not_applicable</x:v>
      </x:c>
      <x:c r="I164" s="15" t="str">
        <x:v>pending_human_review</x:v>
      </x:c>
      <x:c r="J164" s="15" t="str">
        <x:v>pending_human_review</x:v>
      </x:c>
      <x:c r="K164" s="15" t="str">
        <x:v>pending_human_review</x:v>
      </x:c>
      <x:c r="L164" s="15" t="str">
        <x:v>pending_human_review</x:v>
      </x:c>
      <x:c r="M164" s="18" t="str"/>
      <x:c r="N164" s="15" t="str">
        <x:v>pending</x:v>
      </x:c>
      <x:c r="O164" s="15" t="str"/>
      <x:c r="P164" s="15" t="str"/>
      <x:c r="Q164" s="15" t="str">
        <x:v>1</x:v>
      </x:c>
      <x:c r="R164" s="15" t="str">
        <x:v>body_map_recommendations</x:v>
      </x:c>
      <x:c r="S164" s="15" t="str">
        <x:v>8</x:v>
      </x:c>
    </x:row>
    <x:row r="165" ht="48" customHeight="1">
      <x:c r="A165" s="15" t="str">
        <x:v>act_use_cart_distance.01</x:v>
      </x:c>
      <x:c r="B165" s="15" t="str">
        <x:v>act_use_cart_distance</x:v>
      </x:c>
      <x:c r="C165" s="15" t="str">
        <x:v>recommendation</x:v>
      </x:c>
      <x:c r="D165" s="18" t="str">
        <x:v>ใช้รถเข็นหรืออุปกรณ์ช่วยขนย้ายเมื่อต้องขนไกล</x:v>
      </x:c>
      <x:c r="E165" s="18" t="str">
        <x:v>Use a cart or handling aid for long distance transport.</x:v>
      </x:c>
      <x:c r="F165" s="15" t="str">
        <x:v>direct</x:v>
      </x:c>
      <x:c r="G165" s="15" t="str">
        <x:v>pass</x:v>
      </x:c>
      <x:c r="H165" s="15" t="str">
        <x:v>not_applicable</x:v>
      </x:c>
      <x:c r="I165" s="15" t="str">
        <x:v>pending_human_review</x:v>
      </x:c>
      <x:c r="J165" s="15" t="str">
        <x:v>pending_human_review</x:v>
      </x:c>
      <x:c r="K165" s="15" t="str">
        <x:v>pending_human_review</x:v>
      </x:c>
      <x:c r="L165" s="15" t="str">
        <x:v>pending_human_review</x:v>
      </x:c>
      <x:c r="M165" s="18" t="str"/>
      <x:c r="N165" s="15" t="str">
        <x:v>pending</x:v>
      </x:c>
      <x:c r="O165" s="15" t="str"/>
      <x:c r="P165" s="15" t="str"/>
      <x:c r="Q165" s="15" t="str">
        <x:v>1</x:v>
      </x:c>
      <x:c r="R165" s="15" t="str">
        <x:v>body_map_recommendations</x:v>
      </x:c>
      <x:c r="S165" s="15" t="str">
        <x:v>3,8</x:v>
      </x:c>
    </x:row>
    <x:row r="166" ht="48" customHeight="1">
      <x:c r="A166" s="15" t="str">
        <x:v>act_use_legs.01</x:v>
      </x:c>
      <x:c r="B166" s="15" t="str">
        <x:v>act_use_legs</x:v>
      </x:c>
      <x:c r="C166" s="15" t="str">
        <x:v>recommendation</x:v>
      </x:c>
      <x:c r="D166" s="18" t="str">
        <x:v>ใช้แรงจากขาในการออกแรง ไม่ใช่หลัง</x:v>
      </x:c>
      <x:c r="E166" s="18" t="str">
        <x:v>Use force from the legs, not the back.</x:v>
      </x:c>
      <x:c r="F166" s="15" t="str">
        <x:v>direct</x:v>
      </x:c>
      <x:c r="G166" s="15" t="str">
        <x:v>pass</x:v>
      </x:c>
      <x:c r="H166" s="15" t="str">
        <x:v>not_applicable</x:v>
      </x:c>
      <x:c r="I166" s="15" t="str">
        <x:v>pending_human_review</x:v>
      </x:c>
      <x:c r="J166" s="15" t="str">
        <x:v>pending_human_review</x:v>
      </x:c>
      <x:c r="K166" s="15" t="str">
        <x:v>pending_human_review</x:v>
      </x:c>
      <x:c r="L166" s="15" t="str">
        <x:v>pending_human_review</x:v>
      </x:c>
      <x:c r="M166" s="18" t="str"/>
      <x:c r="N166" s="15" t="str">
        <x:v>pending</x:v>
      </x:c>
      <x:c r="O166" s="15" t="str"/>
      <x:c r="P166" s="15" t="str"/>
      <x:c r="Q166" s="15" t="str">
        <x:v>1</x:v>
      </x:c>
      <x:c r="R166" s="15" t="str">
        <x:v>app_recommendations_v3</x:v>
      </x:c>
      <x:c r="S166" s="15" t="str">
        <x:v>1,3</x:v>
      </x:c>
    </x:row>
    <x:row r="167" ht="48" customHeight="1">
      <x:c r="A167" s="15" t="str">
        <x:v>ui.recommendations.heading</x:v>
      </x:c>
      <x:c r="B167" s="15" t="str">
        <x:v>ui.recommendations.heading</x:v>
      </x:c>
      <x:c r="C167" s="15" t="str">
        <x:v>ui_copy</x:v>
      </x:c>
      <x:c r="D167" s="18" t="str">
        <x:v>คำแนะนำตามกิจกรรมและความเสี่ยง</x:v>
      </x:c>
      <x:c r="E167" s="18" t="str">
        <x:v>Recommendations by activity and risk</x:v>
      </x:c>
      <x:c r="F167" s="15" t="str">
        <x:v>direct</x:v>
      </x:c>
      <x:c r="G167" s="15" t="str">
        <x:v>pass</x:v>
      </x:c>
      <x:c r="H167" s="15" t="str">
        <x:v>not_applicable</x:v>
      </x:c>
      <x:c r="I167" s="15" t="str">
        <x:v>pending_human_review</x:v>
      </x:c>
      <x:c r="J167" s="15" t="str">
        <x:v>pending_human_review</x:v>
      </x:c>
      <x:c r="K167" s="15" t="str">
        <x:v>pending_human_review</x:v>
      </x:c>
      <x:c r="L167" s="15" t="str">
        <x:v>pending_human_review</x:v>
      </x:c>
      <x:c r="M167" s="18" t="str"/>
      <x:c r="N167" s="15" t="str">
        <x:v>pending</x:v>
      </x:c>
      <x:c r="O167" s="15" t="str"/>
      <x:c r="P167" s="15" t="str"/>
      <x:c r="Q167" s="15" t="str">
        <x:v>1</x:v>
      </x:c>
      <x:c r="R167" s="15" t="str">
        <x:v>current_app_recommendation_copy</x:v>
      </x:c>
      <x:c r="S167" s="15" t="str"/>
    </x:row>
    <x:row r="168" ht="48" customHeight="1">
      <x:c r="A168" s="15" t="str">
        <x:v>ui.recommendations.instruction</x:v>
      </x:c>
      <x:c r="B168" s="15" t="str">
        <x:v>ui.recommendations.instruction</x:v>
      </x:c>
      <x:c r="C168" s="15" t="str">
        <x:v>ui_copy</x:v>
      </x:c>
      <x:c r="D168" s="18" t="str">
        <x:v>เริ่มจากข้อที่ทำได้จริงในงานนี้ แล้วติดตามคะแนนครั้งถัดไป</x:v>
      </x:c>
      <x:c r="E168" s="18" t="str">
        <x:v>Start with actions that fit this task, then compare the next result.</x:v>
      </x:c>
      <x:c r="F168" s="15" t="str">
        <x:v>direct</x:v>
      </x:c>
      <x:c r="G168" s="15" t="str">
        <x:v>pass</x:v>
      </x:c>
      <x:c r="H168" s="15" t="str">
        <x:v>not_applicable</x:v>
      </x:c>
      <x:c r="I168" s="15" t="str">
        <x:v>pending_human_review</x:v>
      </x:c>
      <x:c r="J168" s="15" t="str">
        <x:v>pending_human_review</x:v>
      </x:c>
      <x:c r="K168" s="15" t="str">
        <x:v>pending_human_review</x:v>
      </x:c>
      <x:c r="L168" s="15" t="str">
        <x:v>pending_human_review</x:v>
      </x:c>
      <x:c r="M168" s="18" t="str"/>
      <x:c r="N168" s="15" t="str">
        <x:v>pending</x:v>
      </x:c>
      <x:c r="O168" s="15" t="str"/>
      <x:c r="P168" s="15" t="str"/>
      <x:c r="Q168" s="15" t="str">
        <x:v>1</x:v>
      </x:c>
      <x:c r="R168" s="15" t="str">
        <x:v>current_app_recommendation_copy</x:v>
      </x:c>
      <x:c r="S168" s="15" t="str"/>
    </x:row>
    <x:row r="169" ht="48" customHeight="1">
      <x:c r="A169" s="15" t="str">
        <x:v>ui.category.posture</x:v>
      </x:c>
      <x:c r="B169" s="15" t="str">
        <x:v>ui.category.posture</x:v>
      </x:c>
      <x:c r="C169" s="15" t="str">
        <x:v>ui_copy</x:v>
      </x:c>
      <x:c r="D169" s="18" t="str">
        <x:v>ท่าทางที่ควรปรับ</x:v>
      </x:c>
      <x:c r="E169" s="18" t="str">
        <x:v>Posture to adjust</x:v>
      </x:c>
      <x:c r="F169" s="15" t="str">
        <x:v>direct</x:v>
      </x:c>
      <x:c r="G169" s="15" t="str">
        <x:v>pass</x:v>
      </x:c>
      <x:c r="H169" s="15" t="str">
        <x:v>not_applicable</x:v>
      </x:c>
      <x:c r="I169" s="15" t="str">
        <x:v>pending_human_review</x:v>
      </x:c>
      <x:c r="J169" s="15" t="str">
        <x:v>pending_human_review</x:v>
      </x:c>
      <x:c r="K169" s="15" t="str">
        <x:v>pending_human_review</x:v>
      </x:c>
      <x:c r="L169" s="15" t="str">
        <x:v>pending_human_review</x:v>
      </x:c>
      <x:c r="M169" s="18" t="str"/>
      <x:c r="N169" s="15" t="str">
        <x:v>pending</x:v>
      </x:c>
      <x:c r="O169" s="15" t="str"/>
      <x:c r="P169" s="15" t="str"/>
      <x:c r="Q169" s="15" t="str">
        <x:v>1</x:v>
      </x:c>
      <x:c r="R169" s="15" t="str">
        <x:v>current_app_recommendation_copy</x:v>
      </x:c>
      <x:c r="S169" s="15" t="str"/>
    </x:row>
    <x:row r="170" ht="48" customHeight="1">
      <x:c r="A170" s="15" t="str">
        <x:v>ui.category.risk_reduction</x:v>
      </x:c>
      <x:c r="B170" s="15" t="str">
        <x:v>ui.category.risk_reduction</x:v>
      </x:c>
      <x:c r="C170" s="15" t="str">
        <x:v>ui_copy</x:v>
      </x:c>
      <x:c r="D170" s="18" t="str">
        <x:v>วิธีลดความเสี่ยง</x:v>
      </x:c>
      <x:c r="E170" s="18" t="str">
        <x:v>Ways to reduce risk</x:v>
      </x:c>
      <x:c r="F170" s="15" t="str">
        <x:v>direct</x:v>
      </x:c>
      <x:c r="G170" s="15" t="str">
        <x:v>pass</x:v>
      </x:c>
      <x:c r="H170" s="15" t="str">
        <x:v>not_applicable</x:v>
      </x:c>
      <x:c r="I170" s="15" t="str">
        <x:v>pending_human_review</x:v>
      </x:c>
      <x:c r="J170" s="15" t="str">
        <x:v>pending_human_review</x:v>
      </x:c>
      <x:c r="K170" s="15" t="str">
        <x:v>pending_human_review</x:v>
      </x:c>
      <x:c r="L170" s="15" t="str">
        <x:v>pending_human_review</x:v>
      </x:c>
      <x:c r="M170" s="18" t="str"/>
      <x:c r="N170" s="15" t="str">
        <x:v>pending</x:v>
      </x:c>
      <x:c r="O170" s="15" t="str"/>
      <x:c r="P170" s="15" t="str"/>
      <x:c r="Q170" s="15" t="str">
        <x:v>1</x:v>
      </x:c>
      <x:c r="R170" s="15" t="str">
        <x:v>current_app_recommendation_copy</x:v>
      </x:c>
      <x:c r="S170" s="15" t="str"/>
    </x:row>
    <x:row r="171" ht="48" customHeight="1">
      <x:c r="A171" s="15" t="str">
        <x:v>ui.category.rest_rotation</x:v>
      </x:c>
      <x:c r="B171" s="15" t="str">
        <x:v>ui.category.rest_rotation</x:v>
      </x:c>
      <x:c r="C171" s="15" t="str">
        <x:v>ui_copy</x:v>
      </x:c>
      <x:c r="D171" s="18" t="str">
        <x:v>การพักหรือสลับงาน</x:v>
      </x:c>
      <x:c r="E171" s="18" t="str">
        <x:v>Rest or task rotation</x:v>
      </x:c>
      <x:c r="F171" s="15" t="str">
        <x:v>direct</x:v>
      </x:c>
      <x:c r="G171" s="15" t="str">
        <x:v>pass</x:v>
      </x:c>
      <x:c r="H171" s="15" t="str">
        <x:v>not_applicable</x:v>
      </x:c>
      <x:c r="I171" s="15" t="str">
        <x:v>pending_human_review</x:v>
      </x:c>
      <x:c r="J171" s="15" t="str">
        <x:v>pending_human_review</x:v>
      </x:c>
      <x:c r="K171" s="15" t="str">
        <x:v>pending_human_review</x:v>
      </x:c>
      <x:c r="L171" s="15" t="str">
        <x:v>pending_human_review</x:v>
      </x:c>
      <x:c r="M171" s="18" t="str"/>
      <x:c r="N171" s="15" t="str">
        <x:v>pending</x:v>
      </x:c>
      <x:c r="O171" s="15" t="str"/>
      <x:c r="P171" s="15" t="str"/>
      <x:c r="Q171" s="15" t="str">
        <x:v>1</x:v>
      </x:c>
      <x:c r="R171" s="15" t="str">
        <x:v>current_app_recommendation_copy</x:v>
      </x:c>
      <x:c r="S171" s="15" t="str"/>
    </x:row>
    <x:row r="172" ht="48" customHeight="1">
      <x:c r="A172" s="15" t="str">
        <x:v>ui.category.workload_support</x:v>
      </x:c>
      <x:c r="B172" s="15" t="str">
        <x:v>ui.category.workload_support</x:v>
      </x:c>
      <x:c r="C172" s="15" t="str">
        <x:v>ui_copy</x:v>
      </x:c>
      <x:c r="D172" s="18" t="str">
        <x:v>อุปกรณ์ช่วยลดภาระงาน</x:v>
      </x:c>
      <x:c r="E172" s="18" t="str">
        <x:v>Tools or workload support</x:v>
      </x:c>
      <x:c r="F172" s="15" t="str">
        <x:v>direct</x:v>
      </x:c>
      <x:c r="G172" s="15" t="str">
        <x:v>pass</x:v>
      </x:c>
      <x:c r="H172" s="15" t="str">
        <x:v>not_applicable</x:v>
      </x:c>
      <x:c r="I172" s="15" t="str">
        <x:v>pending_human_review</x:v>
      </x:c>
      <x:c r="J172" s="15" t="str">
        <x:v>pending_human_review</x:v>
      </x:c>
      <x:c r="K172" s="15" t="str">
        <x:v>pending_human_review</x:v>
      </x:c>
      <x:c r="L172" s="15" t="str">
        <x:v>pending_human_review</x:v>
      </x:c>
      <x:c r="M172" s="18" t="str"/>
      <x:c r="N172" s="15" t="str">
        <x:v>pending</x:v>
      </x:c>
      <x:c r="O172" s="15" t="str"/>
      <x:c r="P172" s="15" t="str"/>
      <x:c r="Q172" s="15" t="str">
        <x:v>1</x:v>
      </x:c>
      <x:c r="R172" s="15" t="str">
        <x:v>current_app_recommendation_copy</x:v>
      </x:c>
      <x:c r="S172" s="15" t="str"/>
    </x:row>
    <x:row r="173" ht="48" customHeight="1">
      <x:c r="A173" s="15" t="str">
        <x:v>ui.recommendations.empty</x:v>
      </x:c>
      <x:c r="B173" s="15" t="str">
        <x:v>ui.recommendations.empty</x:v>
      </x:c>
      <x:c r="C173" s="15" t="str">
        <x:v>ui_copy</x:v>
      </x:c>
      <x:c r="D173" s="18" t="str">
        <x:v>ไม่มีคำแนะนำเพิ่มเติม</x:v>
      </x:c>
      <x:c r="E173" s="18" t="str">
        <x:v>No additional recommendation</x:v>
      </x:c>
      <x:c r="F173" s="15" t="str">
        <x:v>direct</x:v>
      </x:c>
      <x:c r="G173" s="15" t="str">
        <x:v>pass</x:v>
      </x:c>
      <x:c r="H173" s="15" t="str">
        <x:v>not_applicable</x:v>
      </x:c>
      <x:c r="I173" s="15" t="str">
        <x:v>pending_human_review</x:v>
      </x:c>
      <x:c r="J173" s="15" t="str">
        <x:v>pending_human_review</x:v>
      </x:c>
      <x:c r="K173" s="15" t="str">
        <x:v>pending_human_review</x:v>
      </x:c>
      <x:c r="L173" s="15" t="str">
        <x:v>pending_human_review</x:v>
      </x:c>
      <x:c r="M173" s="18" t="str"/>
      <x:c r="N173" s="15" t="str">
        <x:v>pending</x:v>
      </x:c>
      <x:c r="O173" s="15" t="str"/>
      <x:c r="P173" s="15" t="str"/>
      <x:c r="Q173" s="15" t="str">
        <x:v>1</x:v>
      </x:c>
      <x:c r="R173" s="15" t="str">
        <x:v>current_app_recommendation_copy</x:v>
      </x:c>
      <x:c r="S173" s="15" t="str"/>
    </x:row>
    <x:row r="174" ht="48" customHeight="1">
      <x:c r="A174" s="15" t="str">
        <x:v>ui.recommendations.full</x:v>
      </x:c>
      <x:c r="B174" s="15" t="str">
        <x:v>ui.recommendations.full</x:v>
      </x:c>
      <x:c r="C174" s="15" t="str">
        <x:v>ui_copy</x:v>
      </x:c>
      <x:c r="D174" s="18" t="str">
        <x:v>คำแนะนำฉบับเต็ม</x:v>
      </x:c>
      <x:c r="E174" s="18" t="str">
        <x:v>Full recommendations</x:v>
      </x:c>
      <x:c r="F174" s="15" t="str">
        <x:v>direct</x:v>
      </x:c>
      <x:c r="G174" s="15" t="str">
        <x:v>pass</x:v>
      </x:c>
      <x:c r="H174" s="15" t="str">
        <x:v>not_applicable</x:v>
      </x:c>
      <x:c r="I174" s="15" t="str">
        <x:v>pending_human_review</x:v>
      </x:c>
      <x:c r="J174" s="15" t="str">
        <x:v>pending_human_review</x:v>
      </x:c>
      <x:c r="K174" s="15" t="str">
        <x:v>pending_human_review</x:v>
      </x:c>
      <x:c r="L174" s="15" t="str">
        <x:v>pending_human_review</x:v>
      </x:c>
      <x:c r="M174" s="18" t="str"/>
      <x:c r="N174" s="15" t="str">
        <x:v>pending</x:v>
      </x:c>
      <x:c r="O174" s="15" t="str"/>
      <x:c r="P174" s="15" t="str"/>
      <x:c r="Q174" s="15" t="str">
        <x:v>1</x:v>
      </x:c>
      <x:c r="R174" s="15" t="str">
        <x:v>current_app_recommendation_copy</x:v>
      </x:c>
      <x:c r="S174" s="15" t="str"/>
    </x:row>
    <x:row r="175" ht="48" customHeight="1">
      <x:c r="A175" s="15" t="str">
        <x:v>report.selected_recommendations</x:v>
      </x:c>
      <x:c r="B175" s="15" t="str">
        <x:v>report.selected_recommendations</x:v>
      </x:c>
      <x:c r="C175" s="15" t="str">
        <x:v>ui_copy</x:v>
      </x:c>
      <x:c r="D175" s="18" t="str">
        <x:v>คำแนะนำที่เลือก</x:v>
      </x:c>
      <x:c r="E175" s="18" t="str">
        <x:v>Selected recommendations</x:v>
      </x:c>
      <x:c r="F175" s="15" t="str">
        <x:v>direct</x:v>
      </x:c>
      <x:c r="G175" s="15" t="str">
        <x:v>pass</x:v>
      </x:c>
      <x:c r="H175" s="15" t="str">
        <x:v>not_applicable</x:v>
      </x:c>
      <x:c r="I175" s="15" t="str">
        <x:v>pending_human_review</x:v>
      </x:c>
      <x:c r="J175" s="15" t="str">
        <x:v>pending_human_review</x:v>
      </x:c>
      <x:c r="K175" s="15" t="str">
        <x:v>pending_human_review</x:v>
      </x:c>
      <x:c r="L175" s="15" t="str">
        <x:v>pending_human_review</x:v>
      </x:c>
      <x:c r="M175" s="18" t="str"/>
      <x:c r="N175" s="15" t="str">
        <x:v>pending</x:v>
      </x:c>
      <x:c r="O175" s="15" t="str"/>
      <x:c r="P175" s="15" t="str"/>
      <x:c r="Q175" s="15" t="str">
        <x:v>1</x:v>
      </x:c>
      <x:c r="R175" s="15" t="str">
        <x:v>current_app_recommendation_copy</x:v>
      </x:c>
      <x:c r="S175" s="15" t="str"/>
    </x:row>
    <x:row r="176" ht="48" customHeight="1">
      <x:c r="A176" s="15" t="str">
        <x:v>system.unmapped_saved_recommendation</x:v>
      </x:c>
      <x:c r="B176" s="15" t="str">
        <x:v>system.unmapped_saved_recommendation</x:v>
      </x:c>
      <x:c r="C176" s="15" t="str">
        <x:v>system_message</x:v>
      </x:c>
      <x:c r="D176" s="18" t="str">
        <x:v>ไม่สามารถจับคู่คำแนะนำเดิมกับรายการปัจจุบันได้</x:v>
      </x:c>
      <x:c r="E176" s="18" t="str">
        <x:v>A saved recommendation could not be matched to the current approved catalog.</x:v>
      </x:c>
      <x:c r="F176" s="15" t="str">
        <x:v>plain_english</x:v>
      </x:c>
      <x:c r="G176" s="15" t="str">
        <x:v>pass</x:v>
      </x:c>
      <x:c r="H176" s="15" t="str">
        <x:v>not_applicable</x:v>
      </x:c>
      <x:c r="I176" s="15" t="str">
        <x:v>pending_human_review</x:v>
      </x:c>
      <x:c r="J176" s="15" t="str">
        <x:v>pending_human_review</x:v>
      </x:c>
      <x:c r="K176" s="15" t="str">
        <x:v>pending_human_review</x:v>
      </x:c>
      <x:c r="L176" s="15" t="str">
        <x:v>pending_human_review</x:v>
      </x:c>
      <x:c r="M176" s="18" t="str"/>
      <x:c r="N176" s="15" t="str">
        <x:v>pending</x:v>
      </x:c>
      <x:c r="O176" s="15" t="str"/>
      <x:c r="P176" s="15" t="str"/>
      <x:c r="Q176" s="15" t="str">
        <x:v>1</x:v>
      </x:c>
      <x:c r="R176" s="15" t="str">
        <x:v>current_app_recommendation_copy</x:v>
      </x:c>
      <x:c r="S176" s="15" t="str"/>
    </x:row>
  </x:sheetData>
  <x:conditionalFormatting sqref="N2:N176">
    <x:cfRule type="containsText" dxfId="0" priority="1" operator="containsText" text="approved"/>
    <x:cfRule type="containsText" dxfId="1" priority="2" operator="containsText" text="pending"/>
    <x:cfRule type="containsText" dxfId="2" priority="3" operator="containsText" text="needs_revision"/>
    <x:cfRule type="containsText" dxfId="3" priority="4" operator="containsText" text="rejected"/>
  </x:conditionalFormatting>
  <x:dataValidations count="2">
    <x:dataValidation type="list" sqref="N2:N176">
      <x:formula1>"pending,needs_revision,rejected,approved"</x:formula1>
    </x:dataValidation>
    <x:dataValidation type="list" sqref="L2:L176">
      <x:formula1>"pending_human_review,pass,needs_revision"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8293db5268541e8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38" hidden="0" customWidth="1"/>
    <x:col min="3" max="3" width="12" hidden="0" customWidth="1"/>
    <x:col min="4" max="4" width="12" hidden="0" customWidth="1"/>
    <x:col min="5" max="5" width="34" hidden="0" customWidth="1"/>
    <x:col min="6" max="6" width="67" hidden="0" customWidth="1"/>
    <x:col min="7" max="7" width="65" hidden="0" customWidth="1"/>
    <x:col min="8" max="8" width="58" hidden="0" customWidth="1"/>
  </x:cols>
  <x:sheetData>
    <x:row r="1" ht="34" customHeight="1">
      <x:c r="A1" s="14" t="str">
        <x:v>Source ID</x:v>
      </x:c>
      <x:c r="B1" s="14" t="str">
        <x:v>Title</x:v>
      </x:c>
      <x:c r="C1" s="14" t="str">
        <x:v>Language</x:v>
      </x:c>
      <x:c r="D1" s="14" t="str">
        <x:v>Priority</x:v>
      </x:c>
      <x:c r="E1" s="14" t="str">
        <x:v>Role</x:v>
      </x:c>
      <x:c r="F1" s="14" t="str">
        <x:v>SHA-256</x:v>
      </x:c>
      <x:c r="G1" s="14" t="str">
        <x:v>Local path</x:v>
      </x:c>
      <x:c r="H1" s="14" t="str">
        <x:v>Distribution note</x:v>
      </x:c>
    </x:row>
    <x:row r="2" ht="56" customHeight="1">
      <x:c r="A2" s="15" t="str">
        <x:v>body_map_recommendations</x:v>
      </x:c>
      <x:c r="B2" s="18" t="str">
        <x:v>ชุดคำแนะนำตามความเสี่ยง Body map</x:v>
      </x:c>
      <x:c r="C2" s="18" t="str">
        <x:v>th</x:v>
      </x:c>
      <x:c r="D2" s="18" t="n">
        <x:v>1</x:v>
      </x:c>
      <x:c r="E2" s="18" t="str">
        <x:v>primary_recommendation_copy</x:v>
      </x:c>
      <x:c r="F2" s="18" t="str">
        <x:v>fee5c283139b78f605edf18a40fd1d5b4a48893f8e0aa9b3a037630944cb4d2c</x:v>
      </x:c>
      <x:c r="G2" s="18" t="str">
        <x:v>/Users/kpc/Documents/TestSookta/Calibtation/ชุดคำแนะนำตามความเสี่ยง Body map.pdf</x:v>
      </x:c>
      <x:c r="H2" s="18" t="str">
        <x:v>Employer-provided reference. Record provenance only; do not redistribute the source document.</x:v>
      </x:c>
    </x:row>
    <x:row r="3" ht="56" customHeight="1">
      <x:c r="A3" s="15" t="str">
        <x:v>app_recommendations_v3</x:v>
      </x:c>
      <x:c r="B3" s="18" t="str">
        <x:v>คำแนะนำแต่ละระดับความเสี่ยงใน app Ref. ISO11228, REBA V3</x:v>
      </x:c>
      <x:c r="C3" s="18" t="str">
        <x:v>th</x:v>
      </x:c>
      <x:c r="D3" s="18" t="n">
        <x:v>2</x:v>
      </x:c>
      <x:c r="E3" s="18" t="str">
        <x:v>activity_specific_recommendation_copy</x:v>
      </x:c>
      <x:c r="F3" s="18" t="str">
        <x:v>ec80da8a80a4c9fee6255b2787ae86c79fdddef69b53574eab07bb43fcab87b5</x:v>
      </x:c>
      <x:c r="G3" s="18" t="str">
        <x:v>/Users/kpc/Documents/Doc/fortrain/คำแนะนำแต่ละดับความเสี่ยงใน app Ref. ISO11228, REBA V3.pdf</x:v>
      </x:c>
      <x:c r="H3" s="18" t="str">
        <x:v>Employer-provided project reference. Record traceable excerpts only; do not redistribute the source document.</x:v>
      </x:c>
    </x:row>
    <x:row r="4" ht="56" customHeight="1">
      <x:c r="A4" s="15" t="str">
        <x:v>ilo_ergonomic_checkpoints_agriculture</x:v>
      </x:c>
      <x:c r="B4" s="18" t="str">
        <x:v>Ergonomic checkpoints in agriculture</x:v>
      </x:c>
      <x:c r="C4" s="18" t="str">
        <x:v>en</x:v>
      </x:c>
      <x:c r="D4" s="18" t="n">
        <x:v>3</x:v>
      </x:c>
      <x:c r="E4" s="18" t="str">
        <x:v>supporting_ergonomic_evidence</x:v>
      </x:c>
      <x:c r="F4" s="18" t="str">
        <x:v>3ca8a3c621ad6efb58e818de8c5d64ec257bb13c74f191e96c5f60d4d47acf8e</x:v>
      </x:c>
      <x:c r="G4" s="18" t="str">
        <x:v>/Users/kpc/Documents/Doc/fortrain/wcms_168042.pdf</x:v>
      </x:c>
      <x:c r="H4" s="18" t="str">
        <x:v>ILO publication supplied as a project reference. Cite checkpoint/page; do not bundle the PDF in the application.</x:v>
      </x:c>
    </x:row>
    <x:row r="5" ht="56" customHeight="1">
      <x:c r="A5" s="15" t="str">
        <x:v>reba_employee_assessment_worksheet</x:v>
      </x:c>
      <x:c r="B5" s="18" t="str">
        <x:v>REBA Employee Assessment Worksheet</x:v>
      </x:c>
      <x:c r="C5" s="18" t="str">
        <x:v>en</x:v>
      </x:c>
      <x:c r="D5" s="18" t="n">
        <x:v>4</x:v>
      </x:c>
      <x:c r="E5" s="18" t="str">
        <x:v>risk_level_provenance_only</x:v>
      </x:c>
      <x:c r="F5" s="18" t="str">
        <x:v>b23cf52703aacf6cd348f81044f91672cc7bf50f5273be82243d4a11a95155e8</x:v>
      </x:c>
      <x:c r="G5" s="18" t="str">
        <x:v>/Users/kpc/Documents/Doc/REBA.pdf</x:v>
      </x:c>
      <x:c r="H5" s="18" t="str">
        <x:v>Employer-provided assessment worksheet. Use for provenance; it is not a source for newly authored advice.</x:v>
      </x:c>
    </x:row>
    <x:row r="6" ht="56" customHeight="1">
      <x:c r="A6" s="15" t="str">
        <x:v>iso11228_pirawan_project_workbook</x:v>
      </x:c>
      <x:c r="B6" s="18" t="str">
        <x:v>ISO11228 Pirawan project workbook</x:v>
      </x:c>
      <x:c r="C6" s="18" t="str">
        <x:v>th</x:v>
      </x:c>
      <x:c r="D6" s="18" t="n">
        <x:v>5</x:v>
      </x:c>
      <x:c r="E6" s="18" t="str">
        <x:v>project_case_and_scoring_context</x:v>
      </x:c>
      <x:c r="F6" s="18" t="str">
        <x:v>980930d38680ffe215dda38cabe5985fe205b63ade112db63cd9a0a844b16342</x:v>
      </x:c>
      <x:c r="G6" s="18" t="str">
        <x:v>/Users/kpc/Documents/Doc/ISO11228 Pirawan.xlsx</x:v>
      </x:c>
      <x:c r="H6" s="18" t="str">
        <x:v>Employer-provided project workbook. Treat its A-F rubric as project-specific context, not as a verbatim normative ISO formula.</x:v>
      </x:c>
    </x:row>
    <x:row r="7" ht="56" customHeight="1">
      <x:c r="A7" s="15" t="str">
        <x:v>current_app_recommendation_copy</x:v>
      </x:c>
      <x:c r="B7" s="18" t="str">
        <x:v>Current Sookta recommendation localization table</x:v>
      </x:c>
      <x:c r="C7" s="18" t="str">
        <x:v>th,en</x:v>
      </x:c>
      <x:c r="D7" s="18" t="n">
        <x:v>90</x:v>
      </x:c>
      <x:c r="E7" s="18" t="str">
        <x:v>legacy_copy_and_ui_migration_audit</x:v>
      </x:c>
      <x:c r="F7" s="18" t="str">
        <x:v>a112ff7a1fec833cf9312a91db263bb13d7c5989ebfa1fb13deac8d908952bfe</x:v>
      </x:c>
      <x:c r="G7" s="18" t="str">
        <x:v>lib/core/localization/sookta_strings.dart</x:v>
      </x:c>
      <x:c r="H7" s="18" t="str">
        <x:v>Internal project source snapshot. Use only for legacy alias comparison and non-advisory UI copy; external recommendation documents remain authoritative.</x:v>
      </x:c>
    </x:row>
  </x:sheetData>
  <x:pageMargins left="0.7" right="0.7" top="0.75" bottom="0.75" header="0.3" footer="0.3"/>
  <x:tableParts count="1">
    <x:tablePart xmlns:r="http://schemas.openxmlformats.org/officeDocument/2006/relationships" r:id="R93fcd2fb64114415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28" hidden="0" customWidth="1"/>
    <x:col min="3" max="3" width="31" hidden="0" customWidth="1"/>
    <x:col min="4" max="4" width="38" hidden="0" customWidth="1"/>
    <x:col min="5" max="5" width="38" hidden="0" customWidth="1"/>
    <x:col min="6" max="6" width="64" hidden="0" customWidth="1"/>
    <x:col min="7" max="7" width="54" hidden="0" customWidth="1"/>
    <x:col min="8" max="8" width="18" hidden="0" customWidth="1"/>
  </x:cols>
  <x:sheetData>
    <x:row r="1" ht="34" customHeight="1">
      <x:c r="A1" s="14" t="str">
        <x:v>recommendation_id</x:v>
      </x:c>
      <x:c r="B1" s="14" t="str">
        <x:v>selection_key</x:v>
      </x:c>
      <x:c r="C1" s="14" t="str">
        <x:v>issue_type</x:v>
      </x:c>
      <x:c r="D1" s="14" t="str">
        <x:v>source_a</x:v>
      </x:c>
      <x:c r="E1" s="14" t="str">
        <x:v>source_b</x:v>
      </x:c>
      <x:c r="F1" s="14" t="str">
        <x:v>conflicting_value</x:v>
      </x:c>
      <x:c r="G1" s="14" t="str">
        <x:v>proposed_action</x:v>
      </x:c>
      <x:c r="H1" s="14" t="str">
        <x:v>approval_status</x:v>
      </x:c>
    </x:row>
    <x:row r="2" ht="72" customHeight="1">
      <x:c r="A2" s="15" t="str">
        <x:v>act_ref_weight_high.01</x:v>
      </x:c>
      <x:c r="B2" s="15" t="str">
        <x:v>act_ref_weight_high</x:v>
      </x:c>
      <x:c r="C2" s="18" t="str">
        <x:v>overlapping_weight_limits</x:v>
      </x:c>
      <x:c r="D2" s="18" t="str">
        <x:v>body_map_recommendations:p8</x:v>
      </x:c>
      <x:c r="E2" s="18" t="str">
        <x:v>app_recommendations_v3:p1-3</x:v>
      </x:c>
      <x:c r="F2" s="18" t="str">
        <x:v>Body Map กำหนดน้ำหนักตามลักษณะงาน เช่น 10/20/25 กก. แต่เอกสาร V3 กำหนดต่างกันตามอายุและเพศ</x:v>
      </x:c>
      <x:c r="G2" s="18" t="str">
        <x:v>คงคำแนะนำแยกตามบริบท และเมื่อมีหลายเกณฑ์ให้แสดงค่าที่เข้มงวดกว่าซึ่งตรงกับบริบทของผู้ใช้</x:v>
      </x:c>
      <x:c r="H2" s="18" t="str">
        <x:v>pending</x:v>
      </x:c>
    </x:row>
    <x:row r="3" ht="72" customHeight="1">
      <x:c r="A3" s="15" t="str">
        <x:v>act_avoid_bend.01</x:v>
      </x:c>
      <x:c r="B3" s="15" t="str">
        <x:v>act_avoid_bend</x:v>
      </x:c>
      <x:c r="C3" s="18" t="str">
        <x:v>unsupported_legacy_clause</x:v>
      </x:c>
      <x:c r="D3" s="18" t="str">
        <x:v>current_app_recommendation_copy</x:v>
      </x:c>
      <x:c r="E3" s="18" t="str">
        <x:v>body_map_recommendations:p2-3</x:v>
      </x:c>
      <x:c r="F3" s="18" t="str">
        <x:v>ข้อความเดิมกล่าวถึงเข็มขัดพยุงหลัง แต่เอกสารหลักแนะนำให้ยกระดับงานและใช้อุปกรณ์ช่วยทำงานใกล้พื้น</x:v>
      </x:c>
      <x:c r="G3" s="18" t="str">
        <x:v>ใช้ข้อความจาก Body Map และตัดข้อความเรื่องเข็มขัดพยุงหลังออก</x:v>
      </x:c>
      <x:c r="H3" s="18" t="str">
        <x:v>pending</x:v>
      </x:c>
    </x:row>
    <x:row r="4" ht="72" customHeight="1">
      <x:c r="A4" s="15" t="str">
        <x:v>act_harvest_empty_often.01</x:v>
      </x:c>
      <x:c r="B4" s="15" t="str">
        <x:v>act_harvest_empty_often</x:v>
      </x:c>
      <x:c r="C4" s="18" t="str">
        <x:v>indirect_source_mapping</x:v>
      </x:c>
      <x:c r="D4" s="18" t="str">
        <x:v>current_app_recommendation_copy</x:v>
      </x:c>
      <x:c r="E4" s="18" t="str">
        <x:v>app_recommendations_v3:p2</x:v>
      </x:c>
      <x:c r="F4" s="18" t="str">
        <x:v>ข้อความเดิมให้เทตะกร้าบ่อยขึ้น แต่เอกสาร V3 ระบุโดยตรงให้ปรับตะกร้าให้สูงขึ้น</x:v>
      </x:c>
      <x:c r="G4" s="18" t="str">
        <x:v>ใช้ข้อความตาม V3 ว่าให้ยกหรือปรับความสูงของตะกร้า</x:v>
      </x:c>
      <x:c r="H4" s="18" t="str">
        <x:v>pending</x:v>
      </x:c>
    </x:row>
    <x:row r="5" ht="72" customHeight="1">
      <x:c r="A5" s="15" t="str">
        <x:v>act_ref_weight_low.01</x:v>
      </x:c>
      <x:c r="B5" s="15" t="str">
        <x:v>act_ref_weight_low</x:v>
      </x:c>
      <x:c r="C5" s="18" t="str">
        <x:v>project_specific_standard_adaptation</x:v>
      </x:c>
      <x:c r="D5" s="18" t="str">
        <x:v>app_recommendations_v3:p1</x:v>
      </x:c>
      <x:c r="E5" s="18" t="str">
        <x:v>reba_employee_assessment_worksheet:p1</x:v>
      </x:c>
      <x:c r="F5" s="18" t="str">
        <x:v>เกณฑ์อายุ/เพศ A-F และสัดส่วนการลดน้ำหนักเป็นการปรับใช้ในโครงการ ไม่ใช่สูตรที่ระบุใน REBA worksheet ที่ได้รับ</x:v>
      </x:c>
      <x:c r="G5" s="18" t="str">
        <x:v>ระบุว่าเป็นแนวทางเฉพาะโครงการจากผู้ว่าจ้าง ไม่เรียกว่าเป็นสูตรมาตรฐาน ISO โดยตรง</x:v>
      </x:c>
      <x:c r="H5" s="18" t="str">
        <x:v>pending</x:v>
      </x:c>
    </x:row>
  </x:sheetData>
  <x:conditionalFormatting sqref="H2:H5">
    <x:cfRule type="containsText" dxfId="4" priority="1" operator="containsText" text="pending"/>
    <x:cfRule type="containsText" dxfId="5" priority="2" operator="containsText" text="approved"/>
  </x:conditionalFormatting>
  <x:dataValidations count="1">
    <x:dataValidation type="list" sqref="H2:H5">
      <x:formula1>"pending,needs_revision,rejected,approved"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a8888cdc565414e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5" hidden="0" customWidth="1"/>
    <x:col min="2" max="2" width="20" hidden="0" customWidth="1"/>
  </x:cols>
  <x:sheetData>
    <x:row r="1" ht="38" customHeight="1">
      <x:c r="A1" s="24" t="str">
        <x:v>Translation Approval Coverage</x:v>
      </x:c>
      <x:c r="B1" s="24"/>
    </x:row>
    <x:row r="3" ht="26" customHeight="1">
      <x:c r="A3" s="12" t="str">
        <x:v>Metric</x:v>
      </x:c>
      <x:c r="B3" s="12" t="str">
        <x:v>Value</x:v>
      </x:c>
    </x:row>
    <x:row r="4" ht="26" customHeight="1">
      <x:c r="A4" s="36" t="str">
        <x:v>Total review rows</x:v>
      </x:c>
      <x:c r="B4" s="36" t="n">
        <x:f>COUNTA('Translation Review'!A2:A1000)</x:f>
        <x:v>175</x:v>
      </x:c>
    </x:row>
    <x:row r="5" ht="26" customHeight="1">
      <x:c r="A5" s="37" t="str">
        <x:v>Approved</x:v>
      </x:c>
      <x:c r="B5" s="37" t="n">
        <x:f>COUNTIF('Translation Review'!N2:N1000,"approved")</x:f>
        <x:v>0</x:v>
      </x:c>
    </x:row>
    <x:row r="6" ht="26" customHeight="1">
      <x:c r="A6" s="37" t="str">
        <x:v>Pending</x:v>
      </x:c>
      <x:c r="B6" s="37" t="n">
        <x:f>COUNTIF('Translation Review'!N2:N1000,"pending")</x:f>
        <x:v>175</x:v>
      </x:c>
    </x:row>
    <x:row r="7" ht="26" customHeight="1">
      <x:c r="A7" s="37" t="str">
        <x:v>Needs revision</x:v>
      </x:c>
      <x:c r="B7" s="37" t="n">
        <x:f>COUNTIF('Translation Review'!N2:N1000,"needs_revision")</x:f>
        <x:v>0</x:v>
      </x:c>
    </x:row>
    <x:row r="8" ht="26" customHeight="1">
      <x:c r="A8" s="37" t="str">
        <x:v>Rejected</x:v>
      </x:c>
      <x:c r="B8" s="37" t="n">
        <x:f>COUNTIF('Translation Review'!N2:N1000,"rejected")</x:f>
        <x:v>0</x:v>
      </x:c>
    </x:row>
    <x:row r="9" ht="26" customHeight="1">
      <x:c r="A9" s="37" t="str">
        <x:v>Approval coverage</x:v>
      </x:c>
      <x:c r="B9" s="38" t="n">
        <x:f>IF(B4=0,0,B5/B4)</x:f>
        <x:v>0</x:v>
      </x:c>
    </x:row>
    <x:row r="10" ht="26" customHeight="1">
      <x:c r="A10" s="37" t="str">
        <x:v>Unresolved source conflicts</x:v>
      </x:c>
      <x:c r="B10" s="37" t="n">
        <x:f>COUNTIFS('Conflicts'!A2:A100,"&lt;&gt;",'Conflicts'!H2:H100,"&lt;&gt;approved")</x:f>
        <x:v>4</x:v>
      </x:c>
    </x:row>
    <x:row r="11" ht="26" customHeight="1"/>
    <x:row r="12" ht="26" customHeight="1">
      <x:c r="A12" s="32" t="str">
        <x:v>Development gate</x:v>
      </x:c>
      <x:c r="B12" s="33" t="str">
        <x:f>IF(AND(B9=100%,B6=0,B7=0,B8=0,B10=0),"READY","BLOCKED")</x:f>
        <x:v>BLOCKED</x:v>
      </x:c>
    </x:row>
  </x:sheetData>
  <x:mergeCells>
    <x:mergeCell ref="A1:B1"/>
  </x:mergeCells>
  <x:conditionalFormatting sqref="B12:B12">
    <x:cfRule type="containsText" dxfId="6" priority="1" operator="containsText" text="READY"/>
    <x:cfRule type="containsText" dxfId="7" priority="2" operator="containsText" text="BLOCKED"/>
  </x:conditionalFormatting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" hidden="0" customWidth="1"/>
    <x:col min="2" max="2" width="19" hidden="0" customWidth="1"/>
    <x:col min="3" max="3" width="19" hidden="0" customWidth="1"/>
    <x:col min="4" max="4" width="19" hidden="0" customWidth="1"/>
    <x:col min="5" max="5" width="19" hidden="0" customWidth="1"/>
    <x:col min="6" max="6" width="19" hidden="0" customWidth="1"/>
  </x:cols>
  <x:sheetData>
    <x:row r="1" ht="40" customHeight="1">
      <x:c r="A1" s="24" t="str">
        <x:v>วิธีตรวจคำแปลก่อนนำขึ้นแอป</x:v>
      </x:c>
      <x:c r="B1" s="24"/>
      <x:c r="C1" s="24"/>
      <x:c r="D1" s="24"/>
      <x:c r="E1" s="24"/>
      <x:c r="F1" s="24"/>
    </x:row>
    <x:row r="3" ht="46" customHeight="1">
      <x:c r="A3" s="48" t="str">
        <x:v>1. ตรวจข้อความไทยเทียบกับเอกสารและเลขหน้าในคอลัมน์ source_id / source_page</x:v>
      </x:c>
      <x:c r="B3" s="48"/>
      <x:c r="C3" s="48"/>
      <x:c r="D3" s="48"/>
      <x:c r="E3" s="48"/>
      <x:c r="F3" s="48"/>
    </x:row>
    <x:row r="4" ht="46" customHeight="1">
      <x:c r="A4" s="48" t="str">
        <x:v>2. ตรวจว่าภาษาอังกฤษให้ความหมายตรงกัน อ่านเข้าใจง่าย และไม่เพิ่มคำแนะนำใหม่</x:v>
      </x:c>
      <x:c r="B4" s="48"/>
      <x:c r="C4" s="48"/>
      <x:c r="D4" s="48"/>
      <x:c r="E4" s="48"/>
      <x:c r="F4" s="48"/>
    </x:row>
    <x:row r="5" ht="46" customHeight="1">
      <x:c r="A5" s="48" t="str">
        <x:v>3. ตรวจตัวเลข ช่วงตัวเลข หน่วย เวลา ความเร่งด่วน และคำปฏิเสธ เช่น ห้าม/ไม่เกิน/ทันที</x:v>
      </x:c>
      <x:c r="B5" s="48"/>
      <x:c r="C5" s="48"/>
      <x:c r="D5" s="48"/>
      <x:c r="E5" s="48"/>
      <x:c r="F5" s="48"/>
    </x:row>
    <x:row r="6" ht="46" customHeight="1">
      <x:c r="A6" s="48" t="str">
        <x:v>4. หากต้องแก้ ให้แก้ english_draft ใส่ review_comment และเลือก needs_revision</x:v>
      </x:c>
      <x:c r="B6" s="48"/>
      <x:c r="C6" s="48"/>
      <x:c r="D6" s="48"/>
      <x:c r="E6" s="48"/>
      <x:c r="F6" s="48"/>
    </x:row>
    <x:row r="7" ht="46" customHeight="1">
      <x:c r="A7" s="48" t="str">
        <x:v>5. เมื่อข้อความถูกต้อง ให้ตั้ง meaning_review เป็น pass และ approval_status เป็น approved</x:v>
      </x:c>
      <x:c r="B7" s="48"/>
      <x:c r="C7" s="48"/>
      <x:c r="D7" s="48"/>
      <x:c r="E7" s="48"/>
      <x:c r="F7" s="48"/>
    </x:row>
    <x:row r="8" ht="46" customHeight="1">
      <x:c r="A8" s="48" t="str">
        <x:v>6. ใส่ชื่อผู้ตรวจใน approved_by และวันเวลาอนุมัติใน approved_at</x:v>
      </x:c>
      <x:c r="B8" s="48"/>
      <x:c r="C8" s="48"/>
      <x:c r="D8" s="48"/>
      <x:c r="E8" s="48"/>
      <x:c r="F8" s="48"/>
    </x:row>
    <x:row r="9" ht="46" customHeight="1">
      <x:c r="A9" s="48" t="str">
        <x:v>7. ตรวจชีต Conflicts ทั้ง 4 ประเด็น และอนุมัติแนวทางหรือระบุข้อความแก้ไข</x:v>
      </x:c>
      <x:c r="B9" s="48"/>
      <x:c r="C9" s="48"/>
      <x:c r="D9" s="48"/>
      <x:c r="E9" s="48"/>
      <x:c r="F9" s="48"/>
    </x:row>
    <x:row r="10" ht="46" customHeight="1">
      <x:c r="A10" s="48" t="str">
        <x:v>8. ระบบจะยังไม่เริ่มแก้โค้ดแอปจน Coverage เป็น 100% และ Development gate เป็น READY</x:v>
      </x:c>
      <x:c r="B10" s="48"/>
      <x:c r="C10" s="48"/>
      <x:c r="D10" s="48"/>
      <x:c r="E10" s="48"/>
      <x:c r="F10" s="48"/>
    </x:row>
    <x:row r="11" ht="46" customHeight="1">
      <x:c r="A11" s="48" t="str">
        <x:v>9. คีย์ภายในและ schema งานวิจัยยังคงภาษาอังกฤษ และไม่ต้องแปล</x:v>
      </x:c>
      <x:c r="B11" s="48"/>
      <x:c r="C11" s="48"/>
      <x:c r="D11" s="48"/>
      <x:c r="E11" s="48"/>
      <x:c r="F11" s="48"/>
    </x:row>
    <x:row r="12" ht="46" customHeight="1">
      <x:c r="A12" s="48" t="str">
        <x:v>10. รอบนี้ไม่มีการแก้สูตรคำนวณ ไม่มีการเปลี่ยนโมเดล และไม่มีการ train ML</x:v>
      </x:c>
      <x:c r="B12" s="48"/>
      <x:c r="C12" s="48"/>
      <x:c r="D12" s="48"/>
      <x:c r="E12" s="48"/>
      <x:c r="F12" s="48"/>
    </x:row>
  </x:sheetData>
  <x:mergeCells>
    <x:mergeCell ref="A1:F1"/>
    <x:mergeCell ref="A3:F3"/>
    <x:mergeCell ref="A4:F4"/>
    <x:mergeCell ref="A5:F5"/>
    <x:mergeCell ref="A6:F6"/>
    <x:mergeCell ref="A7:F7"/>
    <x:mergeCell ref="A8:F8"/>
    <x:mergeCell ref="A9:F9"/>
    <x:mergeCell ref="A10:F10"/>
    <x:mergeCell ref="A11:F11"/>
    <x:mergeCell ref="A12:F12"/>
  </x:mergeCells>
  <x:pageMargins left="0.7" right="0.7" top="0.75" bottom="0.75" header="0.3" footer="0.3"/>
</x:worksheet>
</file>